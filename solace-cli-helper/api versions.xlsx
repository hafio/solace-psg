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ly\git\hafio-solace-psg\solace-cli-helper\"/>
    </mc:Choice>
  </mc:AlternateContent>
  <xr:revisionPtr revIDLastSave="0" documentId="8_{050B8388-150C-4BAB-8F8F-06F439C4E560}" xr6:coauthVersionLast="47" xr6:coauthVersionMax="47" xr10:uidLastSave="{00000000-0000-0000-0000-000000000000}"/>
  <bookViews>
    <workbookView xWindow="-110" yWindow="-110" windowWidth="32220" windowHeight="19500" xr2:uid="{B34142E8-758B-4DB0-9860-31A1B8574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8" i="1" l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108" i="1" a="1"/>
  <c r="G108" i="1" s="1"/>
  <c r="G107" i="1" a="1"/>
  <c r="G107" i="1" s="1"/>
  <c r="G106" i="1" a="1"/>
  <c r="G106" i="1" s="1"/>
  <c r="G105" i="1"/>
  <c r="G105" i="1" a="1"/>
  <c r="G104" i="1" a="1"/>
  <c r="G104" i="1" s="1"/>
  <c r="G103" i="1" a="1"/>
  <c r="G103" i="1" s="1"/>
  <c r="G102" i="1" a="1"/>
  <c r="G102" i="1" s="1"/>
  <c r="G101" i="1" a="1"/>
  <c r="G101" i="1" s="1"/>
  <c r="G100" i="1" a="1"/>
  <c r="G100" i="1" s="1"/>
  <c r="G99" i="1" a="1"/>
  <c r="G99" i="1" s="1"/>
  <c r="G98" i="1" a="1"/>
  <c r="G98" i="1" s="1"/>
  <c r="G97" i="1" a="1"/>
  <c r="G97" i="1" s="1"/>
  <c r="G96" i="1" a="1"/>
  <c r="G96" i="1" s="1"/>
  <c r="G95" i="1" a="1"/>
  <c r="G95" i="1" s="1"/>
  <c r="G94" i="1"/>
  <c r="G94" i="1" a="1"/>
  <c r="G93" i="1" a="1"/>
  <c r="G93" i="1" s="1"/>
  <c r="G92" i="1" a="1"/>
  <c r="G92" i="1" s="1"/>
  <c r="G91" i="1" a="1"/>
  <c r="G91" i="1" s="1"/>
  <c r="G90" i="1" a="1"/>
  <c r="G90" i="1" s="1"/>
  <c r="G89" i="1" a="1"/>
  <c r="G89" i="1" s="1"/>
  <c r="G88" i="1" a="1"/>
  <c r="G88" i="1" s="1"/>
  <c r="G87" i="1" a="1"/>
  <c r="G87" i="1" s="1"/>
  <c r="G86" i="1" a="1"/>
  <c r="G86" i="1" s="1"/>
  <c r="G85" i="1" a="1"/>
  <c r="G85" i="1" s="1"/>
  <c r="G84" i="1" a="1"/>
  <c r="G84" i="1" s="1"/>
  <c r="G83" i="1"/>
  <c r="G83" i="1" a="1"/>
  <c r="G82" i="1" a="1"/>
  <c r="G82" i="1" s="1"/>
  <c r="G81" i="1" a="1"/>
  <c r="G81" i="1" s="1"/>
  <c r="G80" i="1" a="1"/>
  <c r="G80" i="1" s="1"/>
  <c r="G79" i="1" a="1"/>
  <c r="G79" i="1" s="1"/>
  <c r="G78" i="1" a="1"/>
  <c r="G78" i="1" s="1"/>
  <c r="G77" i="1" a="1"/>
  <c r="G77" i="1" s="1"/>
  <c r="G76" i="1" a="1"/>
  <c r="G76" i="1" s="1"/>
  <c r="G75" i="1" a="1"/>
  <c r="G75" i="1" s="1"/>
  <c r="G74" i="1" a="1"/>
  <c r="G74" i="1" s="1"/>
  <c r="G73" i="1" a="1"/>
  <c r="G73" i="1" s="1"/>
  <c r="G72" i="1"/>
  <c r="G72" i="1" a="1"/>
  <c r="G71" i="1" a="1"/>
  <c r="G71" i="1" s="1"/>
  <c r="G70" i="1" a="1"/>
  <c r="G70" i="1" s="1"/>
  <c r="G69" i="1" a="1"/>
  <c r="G69" i="1" s="1"/>
  <c r="G68" i="1" a="1"/>
  <c r="G68" i="1" s="1"/>
  <c r="G67" i="1" a="1"/>
  <c r="G67" i="1" s="1"/>
  <c r="G66" i="1" a="1"/>
  <c r="G66" i="1" s="1"/>
  <c r="G65" i="1" a="1"/>
  <c r="G65" i="1" s="1"/>
  <c r="G64" i="1" a="1"/>
  <c r="G64" i="1" s="1"/>
  <c r="G63" i="1" a="1"/>
  <c r="G63" i="1" s="1"/>
  <c r="G62" i="1" a="1"/>
  <c r="G62" i="1" s="1"/>
  <c r="G61" i="1"/>
  <c r="G61" i="1" a="1"/>
  <c r="G60" i="1" a="1"/>
  <c r="G60" i="1" s="1"/>
  <c r="G59" i="1" a="1"/>
  <c r="G59" i="1" s="1"/>
  <c r="G58" i="1" a="1"/>
  <c r="G58" i="1" s="1"/>
  <c r="G57" i="1" a="1"/>
  <c r="G57" i="1" s="1"/>
  <c r="G56" i="1" a="1"/>
  <c r="G56" i="1" s="1"/>
  <c r="G55" i="1" a="1"/>
  <c r="G55" i="1" s="1"/>
  <c r="G54" i="1" a="1"/>
  <c r="G54" i="1" s="1"/>
  <c r="G53" i="1" a="1"/>
  <c r="G53" i="1" s="1"/>
  <c r="G52" i="1" a="1"/>
  <c r="G52" i="1" s="1"/>
  <c r="G51" i="1" a="1"/>
  <c r="G51" i="1" s="1"/>
  <c r="G50" i="1"/>
  <c r="G50" i="1" a="1"/>
  <c r="G49" i="1" a="1"/>
  <c r="G49" i="1" s="1"/>
  <c r="G48" i="1" a="1"/>
  <c r="G48" i="1" s="1"/>
  <c r="G47" i="1" a="1"/>
  <c r="G47" i="1" s="1"/>
  <c r="G46" i="1" a="1"/>
  <c r="G46" i="1" s="1"/>
  <c r="G45" i="1" a="1"/>
  <c r="G45" i="1" s="1"/>
  <c r="G44" i="1" a="1"/>
  <c r="G44" i="1" s="1"/>
  <c r="G43" i="1" a="1"/>
  <c r="G43" i="1" s="1"/>
  <c r="G42" i="1" a="1"/>
  <c r="G42" i="1" s="1"/>
  <c r="G41" i="1" a="1"/>
  <c r="G41" i="1" s="1"/>
  <c r="G40" i="1" a="1"/>
  <c r="G40" i="1" s="1"/>
  <c r="G39" i="1"/>
  <c r="G39" i="1" a="1"/>
  <c r="G38" i="1" a="1"/>
  <c r="G38" i="1" s="1"/>
  <c r="G37" i="1" a="1"/>
  <c r="G37" i="1" s="1"/>
  <c r="G36" i="1" a="1"/>
  <c r="G36" i="1" s="1"/>
  <c r="G35" i="1" a="1"/>
  <c r="G35" i="1" s="1"/>
  <c r="G34" i="1" a="1"/>
  <c r="G34" i="1" s="1"/>
  <c r="G33" i="1" a="1"/>
  <c r="G33" i="1" s="1"/>
  <c r="G32" i="1" a="1"/>
  <c r="G32" i="1" s="1"/>
  <c r="G31" i="1" a="1"/>
  <c r="G31" i="1" s="1"/>
  <c r="G30" i="1" a="1"/>
  <c r="G30" i="1" s="1"/>
  <c r="G29" i="1" a="1"/>
  <c r="G29" i="1" s="1"/>
  <c r="G28" i="1"/>
  <c r="G28" i="1" a="1"/>
  <c r="G27" i="1" a="1"/>
  <c r="G27" i="1" s="1"/>
  <c r="G26" i="1" a="1"/>
  <c r="G26" i="1" s="1"/>
  <c r="G25" i="1" a="1"/>
  <c r="G25" i="1" s="1"/>
  <c r="G24" i="1" a="1"/>
  <c r="G24" i="1" s="1"/>
  <c r="G23" i="1" a="1"/>
  <c r="G23" i="1" s="1"/>
  <c r="G22" i="1" a="1"/>
  <c r="G22" i="1" s="1"/>
  <c r="G21" i="1" a="1"/>
  <c r="G21" i="1" s="1"/>
  <c r="G20" i="1" a="1"/>
  <c r="G20" i="1" s="1"/>
  <c r="G19" i="1" a="1"/>
  <c r="G19" i="1" s="1"/>
  <c r="G18" i="1" a="1"/>
  <c r="G18" i="1" s="1"/>
  <c r="G17" i="1"/>
  <c r="G17" i="1" a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8" i="1" a="1"/>
  <c r="G8" i="1" s="1"/>
  <c r="G7" i="1" a="1"/>
  <c r="G7" i="1" s="1"/>
  <c r="G6" i="1"/>
  <c r="G6" i="1" a="1"/>
  <c r="G5" i="1" a="1"/>
  <c r="G5" i="1" s="1"/>
  <c r="G4" i="1" a="1"/>
  <c r="G4" i="1" s="1"/>
  <c r="G3" i="1" a="1"/>
  <c r="G3" i="1" s="1"/>
  <c r="G2" i="1" a="1"/>
  <c r="G2" i="1" s="1"/>
  <c r="F108" i="1" a="1"/>
  <c r="F108" i="1" s="1"/>
  <c r="F107" i="1" a="1"/>
  <c r="F107" i="1" s="1"/>
  <c r="F106" i="1" a="1"/>
  <c r="F106" i="1" s="1"/>
  <c r="F105" i="1" a="1"/>
  <c r="F105" i="1" s="1"/>
  <c r="F104" i="1" a="1"/>
  <c r="F104" i="1" s="1"/>
  <c r="F103" i="1" a="1"/>
  <c r="F103" i="1" s="1"/>
  <c r="F102" i="1" a="1"/>
  <c r="F102" i="1" s="1"/>
  <c r="F101" i="1" a="1"/>
  <c r="F101" i="1" s="1"/>
  <c r="F100" i="1" a="1"/>
  <c r="F100" i="1" s="1"/>
  <c r="F99" i="1" a="1"/>
  <c r="F99" i="1" s="1"/>
  <c r="F98" i="1" a="1"/>
  <c r="F98" i="1" s="1"/>
  <c r="F97" i="1" a="1"/>
  <c r="F97" i="1" s="1"/>
  <c r="F96" i="1" a="1"/>
  <c r="F96" i="1" s="1"/>
  <c r="F95" i="1" a="1"/>
  <c r="F95" i="1" s="1"/>
  <c r="F94" i="1" a="1"/>
  <c r="F94" i="1" s="1"/>
  <c r="F93" i="1" a="1"/>
  <c r="F93" i="1" s="1"/>
  <c r="F92" i="1" a="1"/>
  <c r="F92" i="1" s="1"/>
  <c r="F91" i="1" a="1"/>
  <c r="F91" i="1" s="1"/>
  <c r="F90" i="1" a="1"/>
  <c r="F90" i="1" s="1"/>
  <c r="F89" i="1" a="1"/>
  <c r="F89" i="1" s="1"/>
  <c r="F88" i="1" a="1"/>
  <c r="F88" i="1" s="1"/>
  <c r="F87" i="1" a="1"/>
  <c r="F87" i="1" s="1"/>
  <c r="F86" i="1" a="1"/>
  <c r="F86" i="1" s="1"/>
  <c r="F85" i="1" a="1"/>
  <c r="F85" i="1" s="1"/>
  <c r="F84" i="1" a="1"/>
  <c r="F84" i="1" s="1"/>
  <c r="F83" i="1" a="1"/>
  <c r="F83" i="1" s="1"/>
  <c r="F82" i="1" a="1"/>
  <c r="F82" i="1" s="1"/>
  <c r="F81" i="1" a="1"/>
  <c r="F81" i="1" s="1"/>
  <c r="F80" i="1" a="1"/>
  <c r="F80" i="1" s="1"/>
  <c r="F79" i="1" a="1"/>
  <c r="F79" i="1" s="1"/>
  <c r="F78" i="1" a="1"/>
  <c r="F78" i="1" s="1"/>
  <c r="F77" i="1" a="1"/>
  <c r="F77" i="1" s="1"/>
  <c r="F76" i="1" a="1"/>
  <c r="F76" i="1" s="1"/>
  <c r="F75" i="1" a="1"/>
  <c r="F75" i="1" s="1"/>
  <c r="F74" i="1" a="1"/>
  <c r="F74" i="1" s="1"/>
  <c r="F73" i="1" a="1"/>
  <c r="F73" i="1" s="1"/>
  <c r="F72" i="1" a="1"/>
  <c r="F72" i="1" s="1"/>
  <c r="F71" i="1" a="1"/>
  <c r="F71" i="1" s="1"/>
  <c r="F70" i="1" a="1"/>
  <c r="F70" i="1" s="1"/>
  <c r="F69" i="1" a="1"/>
  <c r="F69" i="1" s="1"/>
  <c r="F68" i="1" a="1"/>
  <c r="F68" i="1" s="1"/>
  <c r="F67" i="1" a="1"/>
  <c r="F67" i="1" s="1"/>
  <c r="F66" i="1" a="1"/>
  <c r="F66" i="1" s="1"/>
  <c r="F65" i="1" a="1"/>
  <c r="F65" i="1" s="1"/>
  <c r="F64" i="1" a="1"/>
  <c r="F64" i="1" s="1"/>
  <c r="F63" i="1" a="1"/>
  <c r="F63" i="1" s="1"/>
  <c r="F62" i="1" a="1"/>
  <c r="F62" i="1" s="1"/>
  <c r="F61" i="1" a="1"/>
  <c r="F61" i="1" s="1"/>
  <c r="F60" i="1" a="1"/>
  <c r="F60" i="1" s="1"/>
  <c r="F59" i="1" a="1"/>
  <c r="F59" i="1" s="1"/>
  <c r="F58" i="1" a="1"/>
  <c r="F58" i="1" s="1"/>
  <c r="F57" i="1" a="1"/>
  <c r="F57" i="1" s="1"/>
  <c r="F56" i="1" a="1"/>
  <c r="F56" i="1" s="1"/>
  <c r="F55" i="1" a="1"/>
  <c r="F55" i="1" s="1"/>
  <c r="F54" i="1" a="1"/>
  <c r="F54" i="1" s="1"/>
  <c r="F53" i="1" a="1"/>
  <c r="F53" i="1" s="1"/>
  <c r="F52" i="1" a="1"/>
  <c r="F52" i="1" s="1"/>
  <c r="F51" i="1" a="1"/>
  <c r="F51" i="1" s="1"/>
  <c r="F50" i="1" a="1"/>
  <c r="F50" i="1" s="1"/>
  <c r="F49" i="1" a="1"/>
  <c r="F49" i="1" s="1"/>
  <c r="F48" i="1" a="1"/>
  <c r="F48" i="1" s="1"/>
  <c r="F47" i="1" a="1"/>
  <c r="F47" i="1" s="1"/>
  <c r="F46" i="1" a="1"/>
  <c r="F46" i="1" s="1"/>
  <c r="F45" i="1" a="1"/>
  <c r="F45" i="1" s="1"/>
  <c r="F44" i="1" a="1"/>
  <c r="F44" i="1" s="1"/>
  <c r="F43" i="1" a="1"/>
  <c r="F43" i="1" s="1"/>
  <c r="F42" i="1" a="1"/>
  <c r="F42" i="1" s="1"/>
  <c r="F41" i="1" a="1"/>
  <c r="F41" i="1" s="1"/>
  <c r="F40" i="1" a="1"/>
  <c r="F40" i="1" s="1"/>
  <c r="F39" i="1" a="1"/>
  <c r="F39" i="1" s="1"/>
  <c r="F38" i="1" a="1"/>
  <c r="F38" i="1" s="1"/>
  <c r="F37" i="1" a="1"/>
  <c r="F37" i="1" s="1"/>
  <c r="F36" i="1" a="1"/>
  <c r="F36" i="1" s="1"/>
  <c r="F35" i="1" a="1"/>
  <c r="F35" i="1" s="1"/>
  <c r="F34" i="1" a="1"/>
  <c r="F34" i="1" s="1"/>
  <c r="F33" i="1" a="1"/>
  <c r="F33" i="1" s="1"/>
  <c r="F32" i="1" a="1"/>
  <c r="F32" i="1" s="1"/>
  <c r="F31" i="1" a="1"/>
  <c r="F31" i="1" s="1"/>
  <c r="F30" i="1" a="1"/>
  <c r="F30" i="1" s="1"/>
  <c r="F29" i="1" a="1"/>
  <c r="F29" i="1" s="1"/>
  <c r="F28" i="1" a="1"/>
  <c r="F28" i="1" s="1"/>
  <c r="F27" i="1" a="1"/>
  <c r="F27" i="1" s="1"/>
  <c r="F26" i="1" a="1"/>
  <c r="F26" i="1" s="1"/>
  <c r="F25" i="1" a="1"/>
  <c r="F25" i="1" s="1"/>
  <c r="F24" i="1" a="1"/>
  <c r="F24" i="1" s="1"/>
  <c r="F23" i="1" a="1"/>
  <c r="F23" i="1" s="1"/>
  <c r="F22" i="1" a="1"/>
  <c r="F22" i="1" s="1"/>
  <c r="F21" i="1" a="1"/>
  <c r="F21" i="1" s="1"/>
  <c r="F20" i="1" a="1"/>
  <c r="F20" i="1" s="1"/>
  <c r="F19" i="1" a="1"/>
  <c r="F19" i="1" s="1"/>
  <c r="F18" i="1" a="1"/>
  <c r="F18" i="1" s="1"/>
  <c r="F17" i="1" a="1"/>
  <c r="F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 a="1"/>
  <c r="F7" i="1" s="1"/>
  <c r="F6" i="1" a="1"/>
  <c r="F6" i="1" s="1"/>
  <c r="F5" i="1" a="1"/>
  <c r="F5" i="1" s="1"/>
  <c r="F4" i="1" a="1"/>
  <c r="F4" i="1" s="1"/>
  <c r="F3" i="1" a="1"/>
  <c r="F3" i="1" s="1"/>
  <c r="F2" i="1" a="1"/>
  <c r="F2" i="1" s="1"/>
  <c r="E108" i="1" a="1"/>
  <c r="E108" i="1" s="1"/>
  <c r="E107" i="1" a="1"/>
  <c r="E107" i="1" s="1"/>
  <c r="E106" i="1" a="1"/>
  <c r="E106" i="1" s="1"/>
  <c r="E105" i="1" a="1"/>
  <c r="E105" i="1" s="1"/>
  <c r="E104" i="1" a="1"/>
  <c r="E104" i="1" s="1"/>
  <c r="E103" i="1" a="1"/>
  <c r="E103" i="1" s="1"/>
  <c r="E102" i="1" a="1"/>
  <c r="E102" i="1" s="1"/>
  <c r="E101" i="1" a="1"/>
  <c r="E101" i="1" s="1"/>
  <c r="E100" i="1" a="1"/>
  <c r="E100" i="1" s="1"/>
  <c r="E99" i="1" a="1"/>
  <c r="E99" i="1" s="1"/>
  <c r="E98" i="1" a="1"/>
  <c r="E98" i="1" s="1"/>
  <c r="E97" i="1" a="1"/>
  <c r="E97" i="1" s="1"/>
  <c r="E96" i="1" a="1"/>
  <c r="E96" i="1" s="1"/>
  <c r="E95" i="1" a="1"/>
  <c r="E95" i="1" s="1"/>
  <c r="E94" i="1" a="1"/>
  <c r="E94" i="1" s="1"/>
  <c r="E93" i="1" a="1"/>
  <c r="E93" i="1" s="1"/>
  <c r="E92" i="1" a="1"/>
  <c r="E92" i="1" s="1"/>
  <c r="E91" i="1" a="1"/>
  <c r="E91" i="1" s="1"/>
  <c r="E90" i="1" a="1"/>
  <c r="E90" i="1" s="1"/>
  <c r="E89" i="1" a="1"/>
  <c r="E89" i="1" s="1"/>
  <c r="E88" i="1" a="1"/>
  <c r="E88" i="1" s="1"/>
  <c r="E87" i="1" a="1"/>
  <c r="E87" i="1" s="1"/>
  <c r="E86" i="1" a="1"/>
  <c r="E86" i="1" s="1"/>
  <c r="E85" i="1" a="1"/>
  <c r="E85" i="1" s="1"/>
  <c r="E84" i="1" a="1"/>
  <c r="E84" i="1" s="1"/>
  <c r="E83" i="1" a="1"/>
  <c r="E83" i="1" s="1"/>
  <c r="E82" i="1" a="1"/>
  <c r="E82" i="1" s="1"/>
  <c r="E81" i="1" a="1"/>
  <c r="E81" i="1" s="1"/>
  <c r="E80" i="1" a="1"/>
  <c r="E80" i="1" s="1"/>
  <c r="E79" i="1" a="1"/>
  <c r="E79" i="1" s="1"/>
  <c r="E78" i="1" a="1"/>
  <c r="E78" i="1" s="1"/>
  <c r="E77" i="1" a="1"/>
  <c r="E77" i="1" s="1"/>
  <c r="E76" i="1" a="1"/>
  <c r="E76" i="1" s="1"/>
  <c r="E75" i="1" a="1"/>
  <c r="E75" i="1" s="1"/>
  <c r="E74" i="1" a="1"/>
  <c r="E74" i="1" s="1"/>
  <c r="E73" i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2" i="1" a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<sst xmlns="http://schemas.openxmlformats.org/spreadsheetml/2006/main" count="324" uniqueCount="158">
  <si>
    <t>Solace PubSub+ API – C, IPC/JIPC, JRTO, iOS</t>
  </si>
  <si>
    <t>May 12, 2025</t>
  </si>
  <si>
    <t>July 5, 2025</t>
  </si>
  <si>
    <t>July 26, 2025</t>
  </si>
  <si>
    <t>December 31, 2025</t>
  </si>
  <si>
    <t>Solace PubSub+ API – C, IPC, iOS</t>
  </si>
  <si>
    <t>May 5, 2026</t>
  </si>
  <si>
    <t>September 26, 2026</t>
  </si>
  <si>
    <t>December 16, 2026</t>
  </si>
  <si>
    <t>April 13, 2027</t>
  </si>
  <si>
    <t>July 1, 2027</t>
  </si>
  <si>
    <t>October 11, 2027</t>
  </si>
  <si>
    <t>December 15, 2027</t>
  </si>
  <si>
    <t>March 21, 2028</t>
  </si>
  <si>
    <t>June 19, 2028</t>
  </si>
  <si>
    <t>October 11, 2028</t>
  </si>
  <si>
    <t>January 23, 2029</t>
  </si>
  <si>
    <t>April 14, 2029</t>
  </si>
  <si>
    <t>Solace PubSub+ API – JRTO, JIPC</t>
  </si>
  <si>
    <t>Solace PubSub+ API - .NET</t>
  </si>
  <si>
    <t>November 10, 2025</t>
  </si>
  <si>
    <t>March 31, 2026</t>
  </si>
  <si>
    <t>July 14, 2027</t>
  </si>
  <si>
    <t>October 10, 2027</t>
  </si>
  <si>
    <t>March 22, 2028</t>
  </si>
  <si>
    <t>June 27, 2028</t>
  </si>
  <si>
    <t>December 16, 2028</t>
  </si>
  <si>
    <t>April 28, 2029</t>
  </si>
  <si>
    <t>Solace PubSub+ API - Go</t>
  </si>
  <si>
    <t>1.0.0</t>
  </si>
  <si>
    <t>1.1.0</t>
  </si>
  <si>
    <t>October 31, 2026</t>
  </si>
  <si>
    <t>1.2.0</t>
  </si>
  <si>
    <t>January 18, 2027</t>
  </si>
  <si>
    <t>1.3.0</t>
  </si>
  <si>
    <t>April 14, 2027</t>
  </si>
  <si>
    <t>1.4.0</t>
  </si>
  <si>
    <t>July 4, 2027</t>
  </si>
  <si>
    <t>1.5.0</t>
  </si>
  <si>
    <t>February 2, 2028</t>
  </si>
  <si>
    <t>1.6.0</t>
  </si>
  <si>
    <t>April 29, 2028</t>
  </si>
  <si>
    <t>1.7.0</t>
  </si>
  <si>
    <t>October 25, 2028</t>
  </si>
  <si>
    <t>1.8.0</t>
  </si>
  <si>
    <t>1.9.1</t>
  </si>
  <si>
    <t>April 8, 2029</t>
  </si>
  <si>
    <t>1.10.0</t>
  </si>
  <si>
    <t>Solace PubSub+ API – JMS/JCSMP/JMSRA</t>
  </si>
  <si>
    <t>May 7, 2025</t>
  </si>
  <si>
    <t>March 25, 2026</t>
  </si>
  <si>
    <t>June 15, 2026</t>
  </si>
  <si>
    <t>September 15, 2026</t>
  </si>
  <si>
    <t>January 31, 2027</t>
  </si>
  <si>
    <t>March 28, 2027</t>
  </si>
  <si>
    <t>Solace PubSub+ API – JMS/JCSMP/JMSRA/Jakarta Messaging</t>
  </si>
  <si>
    <t>May 17, 2027</t>
  </si>
  <si>
    <t>June 13, 2027</t>
  </si>
  <si>
    <t>March 27, 2028</t>
  </si>
  <si>
    <t>March 14, 2029</t>
  </si>
  <si>
    <t>April 15, 2029</t>
  </si>
  <si>
    <t>Solace PubSub+ API – Java</t>
  </si>
  <si>
    <t>September 20, 2025</t>
  </si>
  <si>
    <t>June 24, 2026</t>
  </si>
  <si>
    <t>March 29, 2027</t>
  </si>
  <si>
    <t>June 16, 2027</t>
  </si>
  <si>
    <t>September 28, 2027</t>
  </si>
  <si>
    <t>January 25, 2028</t>
  </si>
  <si>
    <t>July 11, 2028</t>
  </si>
  <si>
    <t>September 16, 2028</t>
  </si>
  <si>
    <t>April 17, 2029</t>
  </si>
  <si>
    <t>Solace PubSub+ API – Javascript</t>
  </si>
  <si>
    <t>May 19, 2025</t>
  </si>
  <si>
    <t>November 1, 2025</t>
  </si>
  <si>
    <t>January 12, 2027</t>
  </si>
  <si>
    <t>March 30, 2027</t>
  </si>
  <si>
    <t>June 9, 2027</t>
  </si>
  <si>
    <t>October 3, 2027</t>
  </si>
  <si>
    <t>March 18, 2028</t>
  </si>
  <si>
    <t>July 10, 2028</t>
  </si>
  <si>
    <t>Solace PubSub+ API - Python</t>
  </si>
  <si>
    <t>February 12, 2025</t>
  </si>
  <si>
    <t>May 28, 2025</t>
  </si>
  <si>
    <t>August 13, 2025</t>
  </si>
  <si>
    <t>March 13, 2026</t>
  </si>
  <si>
    <t>November 9, 2026</t>
  </si>
  <si>
    <t>April 17, 2027</t>
  </si>
  <si>
    <t>April 12, 2028</t>
  </si>
  <si>
    <t>July 8, 2028</t>
  </si>
  <si>
    <t>1.9.0</t>
  </si>
  <si>
    <t>April 24, 2029</t>
  </si>
  <si>
    <t>OpenMAMA</t>
  </si>
  <si>
    <t>October 31, 2022</t>
  </si>
  <si>
    <t>PubSub+ for Tanzu/PCF</t>
  </si>
  <si>
    <t>2.16.0</t>
  </si>
  <si>
    <t>April 20, 2025</t>
  </si>
  <si>
    <t>2.17.0</t>
  </si>
  <si>
    <t>August 23, 2025</t>
  </si>
  <si>
    <t>2.18.0</t>
  </si>
  <si>
    <t>October 16, 2026</t>
  </si>
  <si>
    <t>API</t>
  </si>
  <si>
    <t>7.18</t>
  </si>
  <si>
    <t>7.19</t>
  </si>
  <si>
    <t>7.20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</si>
  <si>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</si>
  <si>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</si>
  <si>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</si>
  <si>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</si>
  <si>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</si>
  <si>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</si>
  <si>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</si>
  <si>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</si>
  <si>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</si>
  <si>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7.30</t>
  </si>
  <si>
    <t>7.31</t>
  </si>
  <si>
    <t>7.32</t>
  </si>
  <si>
    <t>7.33</t>
  </si>
  <si>
    <t>10.0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</si>
  <si>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</si>
  <si>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</si>
  <si>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</si>
  <si>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</si>
  <si>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</si>
  <si>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</si>
  <si>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</si>
  <si>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</si>
  <si>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</si>
  <si>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</si>
  <si>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</si>
  <si>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</si>
  <si>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</si>
  <si>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</si>
  <si>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</si>
  <si>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</si>
  <si>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</si>
  <si>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</si>
  <si>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</si>
  <si>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</si>
  <si>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</si>
  <si>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</si>
  <si>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</si>
  <si>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</si>
  <si>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</si>
  <si>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</si>
  <si>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10.11</t>
  </si>
  <si>
    <t>1.0</t>
  </si>
  <si>
    <t>1.1</t>
  </si>
  <si>
    <t>1.2</t>
  </si>
  <si>
    <t>1.3</t>
  </si>
  <si>
    <t>1.4</t>
  </si>
  <si>
    <t>1.5</t>
  </si>
  <si>
    <t>1.6</t>
  </si>
  <si>
    <t>1.7</t>
  </si>
  <si>
    <t>1.8</t>
  </si>
  <si>
    <t>10.10</t>
  </si>
  <si>
    <t>7.5</t>
  </si>
  <si>
    <t>version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</si>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</sst>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/mm/dd"/>
  </numFmts>
  <fonts count="3" x14ac:knownFonts="1">
    <font>
      <sz val="11"/>
      <color theme="1"/>
      <name val="Aptos Narrow"/>
      <family val="2"/>
      <scheme val="minor"/>
    </font>
    <font>
      <sz val="9"/>
      <color rgb="FF111111"/>
      <name val="Tahoma"/>
      <family val="2"/>
    </font>
    <font>
      <sz val="9"/>
      <color rgb="FF1111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2" fillId="3" borderId="4" xfId="0" applyNumberFormat="1" applyFont="1" applyFill="1" applyBorder="1" applyAlignment="1">
      <alignment horizontal="left" vertical="top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4E69-FB93-46C3-A414-84794E16A08B}">
  <dimension ref="B1:J108"/>
  <sheetViews>
    <sheetView tabSelected="1" workbookViewId="0">
      <selection activeCell="C6" sqref="C6"/>
    </sheetView>
  </sheetViews>
  <sheetFormatPr defaultRowHeight="14.5" x14ac:dyDescent="0.35"/>
  <cols>
    <col min="2" max="2" width="51.08984375" bestFit="1" customWidth="1"/>
    <col min="3" max="4" width="22" customWidth="1"/>
    <col min="8" max="8" width="10.08984375" style="10" bestFit="1" customWidth="1"/>
  </cols>
  <sheetData>
    <row r="1" spans="2:10" x14ac:dyDescent="0.35">
      <c r="B1" t="s">
        <v>100</v>
      </c>
      <c r="C1" t="s">
        <v>156</v>
      </c>
      <c r="D1" t="s">
        <v>157</v>
      </c>
    </row>
    <row r="2" spans="2:10" x14ac:dyDescent="0.35">
      <c r="B2" s="1" t="s">
        <v>0</v>
      </c>
      <c r="C2" s="7" t="s">
        <v>101</v>
      </c>
      <c r="D2" s="2" t="s">
        <v>1</v>
      </c>
      <c r="E2" t="str" cm="1">
        <f t="array" ref="E2">TRIM(INDEX(_xlfn.TEXTSPLIT(D2,","), 2))</f>
        <v>2025</v>
      </c>
      <c r="F2" t="str" cm="1">
        <f t="array" ref="F2">TRIM(RIGHT(INDEX(_xlfn.TEXTSPLIT(D2,","),1),2))</f>
        <v>12</v>
      </c>
      <c r="G2" t="str" cm="1">
        <f t="array" ref="G2">INDEX(_xlfn.TEXTSPLIT(D2," "),1)</f>
        <v>May</v>
      </c>
      <c r="H2" s="10">
        <f>DATEVALUE(F2&amp;" "&amp;G2&amp;" "&amp;E2)</f>
        <v>45789</v>
      </c>
      <c r="J2" t="str">
        <f>""""&amp;C2&amp;""": new Date("&amp;E2&amp;","&amp;MONTH(H2)-1&amp;","&amp;F2&amp;"),"</f>
        <v>"7.18": new Date(2025,4,12),</v>
      </c>
    </row>
    <row r="3" spans="2:10" x14ac:dyDescent="0.35">
      <c r="B3" s="3" t="s">
        <v>0</v>
      </c>
      <c r="C3" s="8" t="s">
        <v>102</v>
      </c>
      <c r="D3" s="4" t="s">
        <v>2</v>
      </c>
      <c r="E3" t="str" cm="1">
        <f t="array" ref="E3">TRIM(INDEX(_xlfn.TEXTSPLIT(D3,","), 2))</f>
        <v>2025</v>
      </c>
      <c r="F3" t="str" cm="1">
        <f t="array" ref="F3">TRIM(RIGHT(INDEX(_xlfn.TEXTSPLIT(D3,","),1),2))</f>
        <v>5</v>
      </c>
      <c r="G3" t="str" cm="1">
        <f t="array" ref="G3">INDEX(_xlfn.TEXTSPLIT(D3," "),1)</f>
        <v>July</v>
      </c>
      <c r="H3" s="10">
        <f t="shared" ref="H3:H66" si="0">DATEVALUE(F3&amp;" "&amp;G3&amp;" "&amp;E3)</f>
        <v>45843</v>
      </c>
      <c r="J3" t="str">
        <f t="shared" ref="J3:J66" si="1">""""&amp;C3&amp;""": new Date("&amp;E3&amp;","&amp;MONTH(H3)-1&amp;","&amp;F3&amp;"),"</f>
        <v>"7.19": new Date(2025,6,5),</v>
      </c>
    </row>
    <row r="4" spans="2:10" x14ac:dyDescent="0.35">
      <c r="B4" s="1" t="s">
        <v>0</v>
      </c>
      <c r="C4" s="7" t="s">
        <v>103</v>
      </c>
      <c r="D4" s="2" t="s">
        <v>3</v>
      </c>
      <c r="E4" t="str" cm="1">
        <f t="array" ref="E4">TRIM(INDEX(_xlfn.TEXTSPLIT(D4,","), 2))</f>
        <v>2025</v>
      </c>
      <c r="F4" t="str" cm="1">
        <f t="array" ref="F4">TRIM(RIGHT(INDEX(_xlfn.TEXTSPLIT(D4,","),1),2))</f>
        <v>26</v>
      </c>
      <c r="G4" t="str" cm="1">
        <f t="array" ref="G4">INDEX(_xlfn.TEXTSPLIT(D4," "),1)</f>
        <v>July</v>
      </c>
      <c r="H4" s="10">
        <f t="shared" si="0"/>
        <v>45864</v>
      </c>
      <c r="J4" t="str">
        <f t="shared" si="1"/>
        <v>"7.20": new Date(2025,6,26),</v>
      </c>
    </row>
    <row r="5" spans="2:10" x14ac:dyDescent="0.35">
      <c r="B5" s="3" t="s">
        <v>0</v>
      </c>
      <c r="C5" s="8" t="s">
        <v>104</v>
      </c>
      <c r="D5" s="4" t="s">
        <v>4</v>
      </c>
      <c r="E5" t="str" cm="1">
        <f t="array" ref="E5">TRIM(INDEX(_xlfn.TEXTSPLIT(D5,","), 2))</f>
        <v>2025</v>
      </c>
      <c r="F5" t="str" cm="1">
        <f t="array" ref="F5">TRIM(RIGHT(INDEX(_xlfn.TEXTSPLIT(D5,","),1),2))</f>
        <v>31</v>
      </c>
      <c r="G5" t="str" cm="1">
        <f t="array" ref="G5">INDEX(_xlfn.TEXTSPLIT(D5," "),1)</f>
        <v>December</v>
      </c>
      <c r="H5" s="10">
        <f t="shared" si="0"/>
        <v>46022</v>
      </c>
      <c r="J5" t="str">
        <f t="shared" si="1"/>
        <v>"7.21": new Date(2025,11,31),</v>
      </c>
    </row>
    <row r="6" spans="2:10" x14ac:dyDescent="0.35">
      <c r="B6" s="1" t="s">
        <v>5</v>
      </c>
      <c r="C6" s="7" t="s">
        <v>105</v>
      </c>
      <c r="D6" s="2" t="s">
        <v>6</v>
      </c>
      <c r="E6" t="str" cm="1">
        <f t="array" ref="E6">TRIM(INDEX(_xlfn.TEXTSPLIT(D6,","), 2))</f>
        <v>2026</v>
      </c>
      <c r="F6" t="str" cm="1">
        <f t="array" ref="F6">TRIM(RIGHT(INDEX(_xlfn.TEXTSPLIT(D6,","),1),2))</f>
        <v>5</v>
      </c>
      <c r="G6" t="str" cm="1">
        <f t="array" ref="G6">INDEX(_xlfn.TEXTSPLIT(D6," "),1)</f>
        <v>May</v>
      </c>
      <c r="H6" s="10">
        <f t="shared" si="0"/>
        <v>46147</v>
      </c>
      <c r="J6" t="str">
        <f t="shared" si="1"/>
        <v>"7.22": new Date(2026,4,5),</v>
      </c>
    </row>
    <row r="7" spans="2:10" x14ac:dyDescent="0.35">
      <c r="B7" s="3" t="s">
        <v>5</v>
      </c>
      <c r="C7" s="8" t="s">
        <v>106</v>
      </c>
      <c r="D7" s="4" t="s">
        <v>7</v>
      </c>
      <c r="E7" t="str" cm="1">
        <f t="array" ref="E7">TRIM(INDEX(_xlfn.TEXTSPLIT(D7,","), 2))</f>
        <v>2026</v>
      </c>
      <c r="F7" t="str" cm="1">
        <f t="array" ref="F7">TRIM(RIGHT(INDEX(_xlfn.TEXTSPLIT(D7,","),1),2))</f>
        <v>26</v>
      </c>
      <c r="G7" t="str" cm="1">
        <f t="array" ref="G7">INDEX(_xlfn.TEXTSPLIT(D7," "),1)</f>
        <v>September</v>
      </c>
      <c r="H7" s="10">
        <f t="shared" si="0"/>
        <v>46291</v>
      </c>
      <c r="J7" t="str">
        <f t="shared" si="1"/>
        <v>"7.23": new Date(2026,8,26),</v>
      </c>
    </row>
    <row r="8" spans="2:10" x14ac:dyDescent="0.35">
      <c r="B8" s="1" t="s">
        <v>5</v>
      </c>
      <c r="C8" s="7" t="s">
        <v>107</v>
      </c>
      <c r="D8" s="2" t="s">
        <v>8</v>
      </c>
      <c r="E8" t="str" cm="1">
        <f t="array" ref="E8">TRIM(INDEX(_xlfn.TEXTSPLIT(D8,","), 2))</f>
        <v>2026</v>
      </c>
      <c r="F8" t="str" cm="1">
        <f t="array" ref="F8">TRIM(RIGHT(INDEX(_xlfn.TEXTSPLIT(D8,","),1),2))</f>
        <v>16</v>
      </c>
      <c r="G8" t="str" cm="1">
        <f t="array" ref="G8">INDEX(_xlfn.TEXTSPLIT(D8," "),1)</f>
        <v>December</v>
      </c>
      <c r="H8" s="10">
        <f t="shared" si="0"/>
        <v>46372</v>
      </c>
      <c r="J8" t="str">
        <f t="shared" si="1"/>
        <v>"7.24": new Date(2026,11,16),</v>
      </c>
    </row>
    <row r="9" spans="2:10" x14ac:dyDescent="0.35">
      <c r="B9" s="3" t="s">
        <v>5</v>
      </c>
      <c r="C9" s="8" t="s">
        <v>108</v>
      </c>
      <c r="D9" s="4" t="s">
        <v>9</v>
      </c>
      <c r="E9" t="str" cm="1">
        <f t="array" ref="E9">TRIM(INDEX(_xlfn.TEXTSPLIT(D9,","), 2))</f>
        <v>2027</v>
      </c>
      <c r="F9" t="str" cm="1">
        <f t="array" ref="F9">TRIM(RIGHT(INDEX(_xlfn.TEXTSPLIT(D9,","),1),2))</f>
        <v>13</v>
      </c>
      <c r="G9" t="str" cm="1">
        <f t="array" ref="G9">INDEX(_xlfn.TEXTSPLIT(D9," "),1)</f>
        <v>April</v>
      </c>
      <c r="H9" s="10">
        <f t="shared" si="0"/>
        <v>46490</v>
      </c>
      <c r="J9" t="str">
        <f t="shared" si="1"/>
        <v>"7.25": new Date(2027,3,13),</v>
      </c>
    </row>
    <row r="10" spans="2:10" x14ac:dyDescent="0.35">
      <c r="B10" s="1" t="s">
        <v>5</v>
      </c>
      <c r="C10" s="7" t="s">
        <v>109</v>
      </c>
      <c r="D10" s="2" t="s">
        <v>10</v>
      </c>
      <c r="E10" t="str" cm="1">
        <f t="array" ref="E10">TRIM(INDEX(_xlfn.TEXTSPLIT(D10,","), 2))</f>
        <v>2027</v>
      </c>
      <c r="F10" t="str" cm="1">
        <f t="array" ref="F10">TRIM(RIGHT(INDEX(_xlfn.TEXTSPLIT(D10,","),1),2))</f>
        <v>1</v>
      </c>
      <c r="G10" t="str" cm="1">
        <f t="array" ref="G10">INDEX(_xlfn.TEXTSPLIT(D10," "),1)</f>
        <v>July</v>
      </c>
      <c r="H10" s="10">
        <f t="shared" si="0"/>
        <v>46569</v>
      </c>
      <c r="J10" t="str">
        <f t="shared" si="1"/>
        <v>"7.26": new Date(2027,6,1),</v>
      </c>
    </row>
    <row r="11" spans="2:10" x14ac:dyDescent="0.35">
      <c r="B11" s="3" t="s">
        <v>5</v>
      </c>
      <c r="C11" s="8" t="s">
        <v>110</v>
      </c>
      <c r="D11" s="4" t="s">
        <v>11</v>
      </c>
      <c r="E11" t="str" cm="1">
        <f t="array" ref="E11">TRIM(INDEX(_xlfn.TEXTSPLIT(D11,","), 2))</f>
        <v>2027</v>
      </c>
      <c r="F11" t="str" cm="1">
        <f t="array" ref="F11">TRIM(RIGHT(INDEX(_xlfn.TEXTSPLIT(D11,","),1),2))</f>
        <v>11</v>
      </c>
      <c r="G11" t="str" cm="1">
        <f t="array" ref="G11">INDEX(_xlfn.TEXTSPLIT(D11," "),1)</f>
        <v>October</v>
      </c>
      <c r="H11" s="10">
        <f t="shared" si="0"/>
        <v>46671</v>
      </c>
      <c r="J11" t="str">
        <f t="shared" si="1"/>
        <v>"7.27": new Date(2027,9,11),</v>
      </c>
    </row>
    <row r="12" spans="2:10" x14ac:dyDescent="0.35">
      <c r="B12" s="1" t="s">
        <v>5</v>
      </c>
      <c r="C12" s="7" t="s">
        <v>111</v>
      </c>
      <c r="D12" s="2" t="s">
        <v>12</v>
      </c>
      <c r="E12" t="str" cm="1">
        <f t="array" ref="E12">TRIM(INDEX(_xlfn.TEXTSPLIT(D12,","), 2))</f>
        <v>2027</v>
      </c>
      <c r="F12" t="str" cm="1">
        <f t="array" ref="F12">TRIM(RIGHT(INDEX(_xlfn.TEXTSPLIT(D12,","),1),2))</f>
        <v>15</v>
      </c>
      <c r="G12" t="str" cm="1">
        <f t="array" ref="G12">INDEX(_xlfn.TEXTSPLIT(D12," "),1)</f>
        <v>December</v>
      </c>
      <c r="H12" s="10">
        <f t="shared" si="0"/>
        <v>46736</v>
      </c>
      <c r="J12" t="str">
        <f t="shared" si="1"/>
        <v>"7.28": new Date(2027,11,15),</v>
      </c>
    </row>
    <row r="13" spans="2:10" x14ac:dyDescent="0.35">
      <c r="B13" s="3" t="s">
        <v>5</v>
      </c>
      <c r="C13" s="8" t="s">
        <v>112</v>
      </c>
      <c r="D13" s="4" t="s">
        <v>13</v>
      </c>
      <c r="E13" t="str" cm="1">
        <f t="array" ref="E13">TRIM(INDEX(_xlfn.TEXTSPLIT(D13,","), 2))</f>
        <v>2028</v>
      </c>
      <c r="F13" t="str" cm="1">
        <f t="array" ref="F13">TRIM(RIGHT(INDEX(_xlfn.TEXTSPLIT(D13,","),1),2))</f>
        <v>21</v>
      </c>
      <c r="G13" t="str" cm="1">
        <f t="array" ref="G13">INDEX(_xlfn.TEXTSPLIT(D13," "),1)</f>
        <v>March</v>
      </c>
      <c r="H13" s="10">
        <f t="shared" si="0"/>
        <v>46833</v>
      </c>
      <c r="J13" t="str">
        <f t="shared" si="1"/>
        <v>"7.29": new Date(2028,2,21),</v>
      </c>
    </row>
    <row r="14" spans="2:10" x14ac:dyDescent="0.35">
      <c r="B14" s="1" t="s">
        <v>5</v>
      </c>
      <c r="C14" s="7" t="s">
        <v>113</v>
      </c>
      <c r="D14" s="2" t="s">
        <v>14</v>
      </c>
      <c r="E14" t="str" cm="1">
        <f t="array" ref="E14">TRIM(INDEX(_xlfn.TEXTSPLIT(D14,","), 2))</f>
        <v>2028</v>
      </c>
      <c r="F14" t="str" cm="1">
        <f t="array" ref="F14">TRIM(RIGHT(INDEX(_xlfn.TEXTSPLIT(D14,","),1),2))</f>
        <v>19</v>
      </c>
      <c r="G14" t="str" cm="1">
        <f t="array" ref="G14">INDEX(_xlfn.TEXTSPLIT(D14," "),1)</f>
        <v>June</v>
      </c>
      <c r="H14" s="10">
        <f t="shared" si="0"/>
        <v>46923</v>
      </c>
      <c r="J14" t="str">
        <f t="shared" si="1"/>
        <v>"7.30": new Date(2028,5,19),</v>
      </c>
    </row>
    <row r="15" spans="2:10" x14ac:dyDescent="0.35">
      <c r="B15" s="3" t="s">
        <v>5</v>
      </c>
      <c r="C15" s="8" t="s">
        <v>114</v>
      </c>
      <c r="D15" s="4" t="s">
        <v>15</v>
      </c>
      <c r="E15" t="str" cm="1">
        <f t="array" ref="E15">TRIM(INDEX(_xlfn.TEXTSPLIT(D15,","), 2))</f>
        <v>2028</v>
      </c>
      <c r="F15" t="str" cm="1">
        <f t="array" ref="F15">TRIM(RIGHT(INDEX(_xlfn.TEXTSPLIT(D15,","),1),2))</f>
        <v>11</v>
      </c>
      <c r="G15" t="str" cm="1">
        <f t="array" ref="G15">INDEX(_xlfn.TEXTSPLIT(D15," "),1)</f>
        <v>October</v>
      </c>
      <c r="H15" s="10">
        <f t="shared" si="0"/>
        <v>47037</v>
      </c>
      <c r="J15" t="str">
        <f t="shared" si="1"/>
        <v>"7.31": new Date(2028,9,11),</v>
      </c>
    </row>
    <row r="16" spans="2:10" x14ac:dyDescent="0.35">
      <c r="B16" s="1" t="s">
        <v>5</v>
      </c>
      <c r="C16" s="7" t="s">
        <v>115</v>
      </c>
      <c r="D16" s="2" t="s">
        <v>16</v>
      </c>
      <c r="E16" t="str" cm="1">
        <f t="array" ref="E16">TRIM(INDEX(_xlfn.TEXTSPLIT(D16,","), 2))</f>
        <v>2029</v>
      </c>
      <c r="F16" t="str" cm="1">
        <f t="array" ref="F16">TRIM(RIGHT(INDEX(_xlfn.TEXTSPLIT(D16,","),1),2))</f>
        <v>23</v>
      </c>
      <c r="G16" t="str" cm="1">
        <f t="array" ref="G16">INDEX(_xlfn.TEXTSPLIT(D16," "),1)</f>
        <v>January</v>
      </c>
      <c r="H16" s="10">
        <f t="shared" si="0"/>
        <v>47141</v>
      </c>
      <c r="J16" t="str">
        <f t="shared" si="1"/>
        <v>"7.32": new Date(2029,0,23),</v>
      </c>
    </row>
    <row r="17" spans="2:10" x14ac:dyDescent="0.35">
      <c r="B17" s="3" t="s">
        <v>5</v>
      </c>
      <c r="C17" s="8" t="s">
        <v>116</v>
      </c>
      <c r="D17" s="4" t="s">
        <v>17</v>
      </c>
      <c r="E17" t="str" cm="1">
        <f t="array" ref="E17">TRIM(INDEX(_xlfn.TEXTSPLIT(D17,","), 2))</f>
        <v>2029</v>
      </c>
      <c r="F17" t="str" cm="1">
        <f t="array" ref="F17">TRIM(RIGHT(INDEX(_xlfn.TEXTSPLIT(D17,","),1),2))</f>
        <v>14</v>
      </c>
      <c r="G17" t="str" cm="1">
        <f t="array" ref="G17">INDEX(_xlfn.TEXTSPLIT(D17," "),1)</f>
        <v>April</v>
      </c>
      <c r="H17" s="10">
        <f t="shared" si="0"/>
        <v>47222</v>
      </c>
      <c r="J17" t="str">
        <f t="shared" si="1"/>
        <v>"7.33": new Date(2029,3,14),</v>
      </c>
    </row>
    <row r="18" spans="2:10" x14ac:dyDescent="0.35">
      <c r="B18" s="1" t="s">
        <v>18</v>
      </c>
      <c r="C18" s="7" t="s">
        <v>117</v>
      </c>
      <c r="D18" s="2" t="s">
        <v>6</v>
      </c>
      <c r="E18" t="str" cm="1">
        <f t="array" ref="E18">TRIM(INDEX(_xlfn.TEXTSPLIT(D18,","), 2))</f>
        <v>2026</v>
      </c>
      <c r="F18" t="str" cm="1">
        <f t="array" ref="F18">TRIM(RIGHT(INDEX(_xlfn.TEXTSPLIT(D18,","),1),2))</f>
        <v>5</v>
      </c>
      <c r="G18" t="str" cm="1">
        <f t="array" ref="G18">INDEX(_xlfn.TEXTSPLIT(D18," "),1)</f>
        <v>May</v>
      </c>
      <c r="H18" s="10">
        <f t="shared" si="0"/>
        <v>46147</v>
      </c>
      <c r="J18" t="str">
        <f t="shared" si="1"/>
        <v>"10.0": new Date(2026,4,5),</v>
      </c>
    </row>
    <row r="19" spans="2:10" x14ac:dyDescent="0.35">
      <c r="B19" s="3" t="s">
        <v>18</v>
      </c>
      <c r="C19" s="8" t="s">
        <v>118</v>
      </c>
      <c r="D19" s="4" t="s">
        <v>7</v>
      </c>
      <c r="E19" t="str" cm="1">
        <f t="array" ref="E19">TRIM(INDEX(_xlfn.TEXTSPLIT(D19,","), 2))</f>
        <v>2026</v>
      </c>
      <c r="F19" t="str" cm="1">
        <f t="array" ref="F19">TRIM(RIGHT(INDEX(_xlfn.TEXTSPLIT(D19,","),1),2))</f>
        <v>26</v>
      </c>
      <c r="G19" t="str" cm="1">
        <f t="array" ref="G19">INDEX(_xlfn.TEXTSPLIT(D19," "),1)</f>
        <v>September</v>
      </c>
      <c r="H19" s="10">
        <f t="shared" si="0"/>
        <v>46291</v>
      </c>
      <c r="J19" t="str">
        <f t="shared" si="1"/>
        <v>"10.1": new Date(2026,8,26),</v>
      </c>
    </row>
    <row r="20" spans="2:10" x14ac:dyDescent="0.35">
      <c r="B20" s="1" t="s">
        <v>18</v>
      </c>
      <c r="C20" s="7" t="s">
        <v>119</v>
      </c>
      <c r="D20" s="2" t="s">
        <v>8</v>
      </c>
      <c r="E20" t="str" cm="1">
        <f t="array" ref="E20">TRIM(INDEX(_xlfn.TEXTSPLIT(D20,","), 2))</f>
        <v>2026</v>
      </c>
      <c r="F20" t="str" cm="1">
        <f t="array" ref="F20">TRIM(RIGHT(INDEX(_xlfn.TEXTSPLIT(D20,","),1),2))</f>
        <v>16</v>
      </c>
      <c r="G20" t="str" cm="1">
        <f t="array" ref="G20">INDEX(_xlfn.TEXTSPLIT(D20," "),1)</f>
        <v>December</v>
      </c>
      <c r="H20" s="10">
        <f t="shared" si="0"/>
        <v>46372</v>
      </c>
      <c r="J20" t="str">
        <f t="shared" si="1"/>
        <v>"10.2": new Date(2026,11,16),</v>
      </c>
    </row>
    <row r="21" spans="2:10" x14ac:dyDescent="0.35">
      <c r="B21" s="3" t="s">
        <v>18</v>
      </c>
      <c r="C21" s="8" t="s">
        <v>120</v>
      </c>
      <c r="D21" s="4" t="s">
        <v>9</v>
      </c>
      <c r="E21" t="str" cm="1">
        <f t="array" ref="E21">TRIM(INDEX(_xlfn.TEXTSPLIT(D21,","), 2))</f>
        <v>2027</v>
      </c>
      <c r="F21" t="str" cm="1">
        <f t="array" ref="F21">TRIM(RIGHT(INDEX(_xlfn.TEXTSPLIT(D21,","),1),2))</f>
        <v>13</v>
      </c>
      <c r="G21" t="str" cm="1">
        <f t="array" ref="G21">INDEX(_xlfn.TEXTSPLIT(D21," "),1)</f>
        <v>April</v>
      </c>
      <c r="H21" s="10">
        <f t="shared" si="0"/>
        <v>46490</v>
      </c>
      <c r="J21" t="str">
        <f t="shared" si="1"/>
        <v>"10.3": new Date(2027,3,13),</v>
      </c>
    </row>
    <row r="22" spans="2:10" x14ac:dyDescent="0.35">
      <c r="B22" s="1" t="s">
        <v>18</v>
      </c>
      <c r="C22" s="7" t="s">
        <v>121</v>
      </c>
      <c r="D22" s="2" t="s">
        <v>10</v>
      </c>
      <c r="E22" t="str" cm="1">
        <f t="array" ref="E22">TRIM(INDEX(_xlfn.TEXTSPLIT(D22,","), 2))</f>
        <v>2027</v>
      </c>
      <c r="F22" t="str" cm="1">
        <f t="array" ref="F22">TRIM(RIGHT(INDEX(_xlfn.TEXTSPLIT(D22,","),1),2))</f>
        <v>1</v>
      </c>
      <c r="G22" t="str" cm="1">
        <f t="array" ref="G22">INDEX(_xlfn.TEXTSPLIT(D22," "),1)</f>
        <v>July</v>
      </c>
      <c r="H22" s="10">
        <f t="shared" si="0"/>
        <v>46569</v>
      </c>
      <c r="J22" t="str">
        <f t="shared" si="1"/>
        <v>"10.4": new Date(2027,6,1),</v>
      </c>
    </row>
    <row r="23" spans="2:10" x14ac:dyDescent="0.35">
      <c r="B23" s="3" t="s">
        <v>18</v>
      </c>
      <c r="C23" s="8" t="s">
        <v>122</v>
      </c>
      <c r="D23" s="4" t="s">
        <v>11</v>
      </c>
      <c r="E23" t="str" cm="1">
        <f t="array" ref="E23">TRIM(INDEX(_xlfn.TEXTSPLIT(D23,","), 2))</f>
        <v>2027</v>
      </c>
      <c r="F23" t="str" cm="1">
        <f t="array" ref="F23">TRIM(RIGHT(INDEX(_xlfn.TEXTSPLIT(D23,","),1),2))</f>
        <v>11</v>
      </c>
      <c r="G23" t="str" cm="1">
        <f t="array" ref="G23">INDEX(_xlfn.TEXTSPLIT(D23," "),1)</f>
        <v>October</v>
      </c>
      <c r="H23" s="10">
        <f t="shared" si="0"/>
        <v>46671</v>
      </c>
      <c r="J23" t="str">
        <f t="shared" si="1"/>
        <v>"10.5": new Date(2027,9,11),</v>
      </c>
    </row>
    <row r="24" spans="2:10" x14ac:dyDescent="0.35">
      <c r="B24" s="1" t="s">
        <v>18</v>
      </c>
      <c r="C24" s="7" t="s">
        <v>123</v>
      </c>
      <c r="D24" s="2" t="s">
        <v>12</v>
      </c>
      <c r="E24" t="str" cm="1">
        <f t="array" ref="E24">TRIM(INDEX(_xlfn.TEXTSPLIT(D24,","), 2))</f>
        <v>2027</v>
      </c>
      <c r="F24" t="str" cm="1">
        <f t="array" ref="F24">TRIM(RIGHT(INDEX(_xlfn.TEXTSPLIT(D24,","),1),2))</f>
        <v>15</v>
      </c>
      <c r="G24" t="str" cm="1">
        <f t="array" ref="G24">INDEX(_xlfn.TEXTSPLIT(D24," "),1)</f>
        <v>December</v>
      </c>
      <c r="H24" s="10">
        <f t="shared" si="0"/>
        <v>46736</v>
      </c>
      <c r="J24" t="str">
        <f t="shared" si="1"/>
        <v>"10.6": new Date(2027,11,15),</v>
      </c>
    </row>
    <row r="25" spans="2:10" x14ac:dyDescent="0.35">
      <c r="B25" s="3" t="s">
        <v>18</v>
      </c>
      <c r="C25" s="8" t="s">
        <v>124</v>
      </c>
      <c r="D25" s="4" t="s">
        <v>13</v>
      </c>
      <c r="E25" t="str" cm="1">
        <f t="array" ref="E25">TRIM(INDEX(_xlfn.TEXTSPLIT(D25,","), 2))</f>
        <v>2028</v>
      </c>
      <c r="F25" t="str" cm="1">
        <f t="array" ref="F25">TRIM(RIGHT(INDEX(_xlfn.TEXTSPLIT(D25,","),1),2))</f>
        <v>21</v>
      </c>
      <c r="G25" t="str" cm="1">
        <f t="array" ref="G25">INDEX(_xlfn.TEXTSPLIT(D25," "),1)</f>
        <v>March</v>
      </c>
      <c r="H25" s="10">
        <f t="shared" si="0"/>
        <v>46833</v>
      </c>
      <c r="J25" t="str">
        <f t="shared" si="1"/>
        <v>"10.7": new Date(2028,2,21),</v>
      </c>
    </row>
    <row r="26" spans="2:10" x14ac:dyDescent="0.35">
      <c r="B26" s="1" t="s">
        <v>18</v>
      </c>
      <c r="C26" s="7" t="s">
        <v>125</v>
      </c>
      <c r="D26" s="2" t="s">
        <v>15</v>
      </c>
      <c r="E26" t="str" cm="1">
        <f t="array" ref="E26">TRIM(INDEX(_xlfn.TEXTSPLIT(D26,","), 2))</f>
        <v>2028</v>
      </c>
      <c r="F26" t="str" cm="1">
        <f t="array" ref="F26">TRIM(RIGHT(INDEX(_xlfn.TEXTSPLIT(D26,","),1),2))</f>
        <v>11</v>
      </c>
      <c r="G26" t="str" cm="1">
        <f t="array" ref="G26">INDEX(_xlfn.TEXTSPLIT(D26," "),1)</f>
        <v>October</v>
      </c>
      <c r="H26" s="10">
        <f t="shared" si="0"/>
        <v>47037</v>
      </c>
      <c r="J26" t="str">
        <f t="shared" si="1"/>
        <v>"10.8": new Date(2028,9,11),</v>
      </c>
    </row>
    <row r="27" spans="2:10" x14ac:dyDescent="0.35">
      <c r="B27" s="3" t="s">
        <v>18</v>
      </c>
      <c r="C27" s="8" t="s">
        <v>126</v>
      </c>
      <c r="D27" s="4" t="s">
        <v>17</v>
      </c>
      <c r="E27" t="str" cm="1">
        <f t="array" ref="E27">TRIM(INDEX(_xlfn.TEXTSPLIT(D27,","), 2))</f>
        <v>2029</v>
      </c>
      <c r="F27" t="str" cm="1">
        <f t="array" ref="F27">TRIM(RIGHT(INDEX(_xlfn.TEXTSPLIT(D27,","),1),2))</f>
        <v>14</v>
      </c>
      <c r="G27" t="str" cm="1">
        <f t="array" ref="G27">INDEX(_xlfn.TEXTSPLIT(D27," "),1)</f>
        <v>April</v>
      </c>
      <c r="H27" s="10">
        <f t="shared" si="0"/>
        <v>47222</v>
      </c>
      <c r="J27" t="str">
        <f t="shared" si="1"/>
        <v>"10.9": new Date(2029,3,14),</v>
      </c>
    </row>
    <row r="28" spans="2:10" x14ac:dyDescent="0.35">
      <c r="B28" s="1" t="s">
        <v>19</v>
      </c>
      <c r="C28" s="7" t="s">
        <v>127</v>
      </c>
      <c r="D28" s="2" t="s">
        <v>1</v>
      </c>
      <c r="E28" t="str" cm="1">
        <f t="array" ref="E28">TRIM(INDEX(_xlfn.TEXTSPLIT(D28,","), 2))</f>
        <v>2025</v>
      </c>
      <c r="F28" t="str" cm="1">
        <f t="array" ref="F28">TRIM(RIGHT(INDEX(_xlfn.TEXTSPLIT(D28,","),1),2))</f>
        <v>12</v>
      </c>
      <c r="G28" t="str" cm="1">
        <f t="array" ref="G28">INDEX(_xlfn.TEXTSPLIT(D28," "),1)</f>
        <v>May</v>
      </c>
      <c r="H28" s="10">
        <f t="shared" si="0"/>
        <v>45789</v>
      </c>
      <c r="J28" t="str">
        <f t="shared" si="1"/>
        <v>"10.12": new Date(2025,4,12),</v>
      </c>
    </row>
    <row r="29" spans="2:10" x14ac:dyDescent="0.35">
      <c r="B29" s="3" t="s">
        <v>19</v>
      </c>
      <c r="C29" s="8" t="s">
        <v>128</v>
      </c>
      <c r="D29" s="4" t="s">
        <v>2</v>
      </c>
      <c r="E29" t="str" cm="1">
        <f t="array" ref="E29">TRIM(INDEX(_xlfn.TEXTSPLIT(D29,","), 2))</f>
        <v>2025</v>
      </c>
      <c r="F29" t="str" cm="1">
        <f t="array" ref="F29">TRIM(RIGHT(INDEX(_xlfn.TEXTSPLIT(D29,","),1),2))</f>
        <v>5</v>
      </c>
      <c r="G29" t="str" cm="1">
        <f t="array" ref="G29">INDEX(_xlfn.TEXTSPLIT(D29," "),1)</f>
        <v>July</v>
      </c>
      <c r="H29" s="10">
        <f t="shared" si="0"/>
        <v>45843</v>
      </c>
      <c r="J29" t="str">
        <f t="shared" si="1"/>
        <v>"10.13": new Date(2025,6,5),</v>
      </c>
    </row>
    <row r="30" spans="2:10" x14ac:dyDescent="0.35">
      <c r="B30" s="1" t="s">
        <v>19</v>
      </c>
      <c r="C30" s="7" t="s">
        <v>129</v>
      </c>
      <c r="D30" s="2" t="s">
        <v>3</v>
      </c>
      <c r="E30" t="str" cm="1">
        <f t="array" ref="E30">TRIM(INDEX(_xlfn.TEXTSPLIT(D30,","), 2))</f>
        <v>2025</v>
      </c>
      <c r="F30" t="str" cm="1">
        <f t="array" ref="F30">TRIM(RIGHT(INDEX(_xlfn.TEXTSPLIT(D30,","),1),2))</f>
        <v>26</v>
      </c>
      <c r="G30" t="str" cm="1">
        <f t="array" ref="G30">INDEX(_xlfn.TEXTSPLIT(D30," "),1)</f>
        <v>July</v>
      </c>
      <c r="H30" s="10">
        <f t="shared" si="0"/>
        <v>45864</v>
      </c>
      <c r="J30" t="str">
        <f t="shared" si="1"/>
        <v>"10.14": new Date(2025,6,26),</v>
      </c>
    </row>
    <row r="31" spans="2:10" x14ac:dyDescent="0.35">
      <c r="B31" s="3" t="s">
        <v>19</v>
      </c>
      <c r="C31" s="8" t="s">
        <v>130</v>
      </c>
      <c r="D31" s="4" t="s">
        <v>20</v>
      </c>
      <c r="E31" t="str" cm="1">
        <f t="array" ref="E31">TRIM(INDEX(_xlfn.TEXTSPLIT(D31,","), 2))</f>
        <v>2025</v>
      </c>
      <c r="F31" t="str" cm="1">
        <f t="array" ref="F31">TRIM(RIGHT(INDEX(_xlfn.TEXTSPLIT(D31,","),1),2))</f>
        <v>10</v>
      </c>
      <c r="G31" t="str" cm="1">
        <f t="array" ref="G31">INDEX(_xlfn.TEXTSPLIT(D31," "),1)</f>
        <v>November</v>
      </c>
      <c r="H31" s="10">
        <f t="shared" si="0"/>
        <v>45971</v>
      </c>
      <c r="J31" t="str">
        <f t="shared" si="1"/>
        <v>"10.15": new Date(2025,10,10),</v>
      </c>
    </row>
    <row r="32" spans="2:10" x14ac:dyDescent="0.35">
      <c r="B32" s="1" t="s">
        <v>19</v>
      </c>
      <c r="C32" s="7" t="s">
        <v>131</v>
      </c>
      <c r="D32" s="2" t="s">
        <v>4</v>
      </c>
      <c r="E32" t="str" cm="1">
        <f t="array" ref="E32">TRIM(INDEX(_xlfn.TEXTSPLIT(D32,","), 2))</f>
        <v>2025</v>
      </c>
      <c r="F32" t="str" cm="1">
        <f t="array" ref="F32">TRIM(RIGHT(INDEX(_xlfn.TEXTSPLIT(D32,","),1),2))</f>
        <v>31</v>
      </c>
      <c r="G32" t="str" cm="1">
        <f t="array" ref="G32">INDEX(_xlfn.TEXTSPLIT(D32," "),1)</f>
        <v>December</v>
      </c>
      <c r="H32" s="10">
        <f t="shared" si="0"/>
        <v>46022</v>
      </c>
      <c r="J32" t="str">
        <f t="shared" si="1"/>
        <v>"10.16": new Date(2025,11,31),</v>
      </c>
    </row>
    <row r="33" spans="2:10" x14ac:dyDescent="0.35">
      <c r="B33" s="3" t="s">
        <v>19</v>
      </c>
      <c r="C33" s="8" t="s">
        <v>132</v>
      </c>
      <c r="D33" s="4" t="s">
        <v>21</v>
      </c>
      <c r="E33" t="str" cm="1">
        <f t="array" ref="E33">TRIM(INDEX(_xlfn.TEXTSPLIT(D33,","), 2))</f>
        <v>2026</v>
      </c>
      <c r="F33" t="str" cm="1">
        <f t="array" ref="F33">TRIM(RIGHT(INDEX(_xlfn.TEXTSPLIT(D33,","),1),2))</f>
        <v>31</v>
      </c>
      <c r="G33" t="str" cm="1">
        <f t="array" ref="G33">INDEX(_xlfn.TEXTSPLIT(D33," "),1)</f>
        <v>March</v>
      </c>
      <c r="H33" s="10">
        <f t="shared" si="0"/>
        <v>46112</v>
      </c>
      <c r="J33" t="str">
        <f t="shared" si="1"/>
        <v>"10.17": new Date(2026,2,31),</v>
      </c>
    </row>
    <row r="34" spans="2:10" x14ac:dyDescent="0.35">
      <c r="B34" s="1" t="s">
        <v>19</v>
      </c>
      <c r="C34" s="7" t="s">
        <v>133</v>
      </c>
      <c r="D34" s="2" t="s">
        <v>7</v>
      </c>
      <c r="E34" t="str" cm="1">
        <f t="array" ref="E34">TRIM(INDEX(_xlfn.TEXTSPLIT(D34,","), 2))</f>
        <v>2026</v>
      </c>
      <c r="F34" t="str" cm="1">
        <f t="array" ref="F34">TRIM(RIGHT(INDEX(_xlfn.TEXTSPLIT(D34,","),1),2))</f>
        <v>26</v>
      </c>
      <c r="G34" t="str" cm="1">
        <f t="array" ref="G34">INDEX(_xlfn.TEXTSPLIT(D34," "),1)</f>
        <v>September</v>
      </c>
      <c r="H34" s="10">
        <f t="shared" si="0"/>
        <v>46291</v>
      </c>
      <c r="J34" t="str">
        <f t="shared" si="1"/>
        <v>"10.18": new Date(2026,8,26),</v>
      </c>
    </row>
    <row r="35" spans="2:10" x14ac:dyDescent="0.35">
      <c r="B35" s="3" t="s">
        <v>19</v>
      </c>
      <c r="C35" s="8" t="s">
        <v>134</v>
      </c>
      <c r="D35" s="4" t="s">
        <v>8</v>
      </c>
      <c r="E35" t="str" cm="1">
        <f t="array" ref="E35">TRIM(INDEX(_xlfn.TEXTSPLIT(D35,","), 2))</f>
        <v>2026</v>
      </c>
      <c r="F35" t="str" cm="1">
        <f t="array" ref="F35">TRIM(RIGHT(INDEX(_xlfn.TEXTSPLIT(D35,","),1),2))</f>
        <v>16</v>
      </c>
      <c r="G35" t="str" cm="1">
        <f t="array" ref="G35">INDEX(_xlfn.TEXTSPLIT(D35," "),1)</f>
        <v>December</v>
      </c>
      <c r="H35" s="10">
        <f t="shared" si="0"/>
        <v>46372</v>
      </c>
      <c r="J35" t="str">
        <f t="shared" si="1"/>
        <v>"10.19": new Date(2026,11,16),</v>
      </c>
    </row>
    <row r="36" spans="2:10" x14ac:dyDescent="0.35">
      <c r="B36" s="1" t="s">
        <v>19</v>
      </c>
      <c r="C36" s="7" t="s">
        <v>135</v>
      </c>
      <c r="D36" s="2" t="s">
        <v>9</v>
      </c>
      <c r="E36" t="str" cm="1">
        <f t="array" ref="E36">TRIM(INDEX(_xlfn.TEXTSPLIT(D36,","), 2))</f>
        <v>2027</v>
      </c>
      <c r="F36" t="str" cm="1">
        <f t="array" ref="F36">TRIM(RIGHT(INDEX(_xlfn.TEXTSPLIT(D36,","),1),2))</f>
        <v>13</v>
      </c>
      <c r="G36" t="str" cm="1">
        <f t="array" ref="G36">INDEX(_xlfn.TEXTSPLIT(D36," "),1)</f>
        <v>April</v>
      </c>
      <c r="H36" s="10">
        <f t="shared" si="0"/>
        <v>46490</v>
      </c>
      <c r="J36" t="str">
        <f t="shared" si="1"/>
        <v>"10.20": new Date(2027,3,13),</v>
      </c>
    </row>
    <row r="37" spans="2:10" x14ac:dyDescent="0.35">
      <c r="B37" s="3" t="s">
        <v>19</v>
      </c>
      <c r="C37" s="8" t="s">
        <v>136</v>
      </c>
      <c r="D37" s="4" t="s">
        <v>22</v>
      </c>
      <c r="E37" t="str" cm="1">
        <f t="array" ref="E37">TRIM(INDEX(_xlfn.TEXTSPLIT(D37,","), 2))</f>
        <v>2027</v>
      </c>
      <c r="F37" t="str" cm="1">
        <f t="array" ref="F37">TRIM(RIGHT(INDEX(_xlfn.TEXTSPLIT(D37,","),1),2))</f>
        <v>14</v>
      </c>
      <c r="G37" t="str" cm="1">
        <f t="array" ref="G37">INDEX(_xlfn.TEXTSPLIT(D37," "),1)</f>
        <v>July</v>
      </c>
      <c r="H37" s="10">
        <f t="shared" si="0"/>
        <v>46582</v>
      </c>
      <c r="J37" t="str">
        <f t="shared" si="1"/>
        <v>"10.21": new Date(2027,6,14),</v>
      </c>
    </row>
    <row r="38" spans="2:10" x14ac:dyDescent="0.35">
      <c r="B38" s="1" t="s">
        <v>19</v>
      </c>
      <c r="C38" s="7" t="s">
        <v>137</v>
      </c>
      <c r="D38" s="2" t="s">
        <v>23</v>
      </c>
      <c r="E38" t="str" cm="1">
        <f t="array" ref="E38">TRIM(INDEX(_xlfn.TEXTSPLIT(D38,","), 2))</f>
        <v>2027</v>
      </c>
      <c r="F38" t="str" cm="1">
        <f t="array" ref="F38">TRIM(RIGHT(INDEX(_xlfn.TEXTSPLIT(D38,","),1),2))</f>
        <v>10</v>
      </c>
      <c r="G38" t="str" cm="1">
        <f t="array" ref="G38">INDEX(_xlfn.TEXTSPLIT(D38," "),1)</f>
        <v>October</v>
      </c>
      <c r="H38" s="10">
        <f t="shared" si="0"/>
        <v>46670</v>
      </c>
      <c r="J38" t="str">
        <f t="shared" si="1"/>
        <v>"10.22": new Date(2027,9,10),</v>
      </c>
    </row>
    <row r="39" spans="2:10" x14ac:dyDescent="0.35">
      <c r="B39" s="3" t="s">
        <v>19</v>
      </c>
      <c r="C39" s="8" t="s">
        <v>138</v>
      </c>
      <c r="D39" s="4" t="s">
        <v>12</v>
      </c>
      <c r="E39" t="str" cm="1">
        <f t="array" ref="E39">TRIM(INDEX(_xlfn.TEXTSPLIT(D39,","), 2))</f>
        <v>2027</v>
      </c>
      <c r="F39" t="str" cm="1">
        <f t="array" ref="F39">TRIM(RIGHT(INDEX(_xlfn.TEXTSPLIT(D39,","),1),2))</f>
        <v>15</v>
      </c>
      <c r="G39" t="str" cm="1">
        <f t="array" ref="G39">INDEX(_xlfn.TEXTSPLIT(D39," "),1)</f>
        <v>December</v>
      </c>
      <c r="H39" s="10">
        <f t="shared" si="0"/>
        <v>46736</v>
      </c>
      <c r="J39" t="str">
        <f t="shared" si="1"/>
        <v>"10.23": new Date(2027,11,15),</v>
      </c>
    </row>
    <row r="40" spans="2:10" x14ac:dyDescent="0.35">
      <c r="B40" s="1" t="s">
        <v>19</v>
      </c>
      <c r="C40" s="7" t="s">
        <v>139</v>
      </c>
      <c r="D40" s="2" t="s">
        <v>24</v>
      </c>
      <c r="E40" t="str" cm="1">
        <f t="array" ref="E40">TRIM(INDEX(_xlfn.TEXTSPLIT(D40,","), 2))</f>
        <v>2028</v>
      </c>
      <c r="F40" t="str" cm="1">
        <f t="array" ref="F40">TRIM(RIGHT(INDEX(_xlfn.TEXTSPLIT(D40,","),1),2))</f>
        <v>22</v>
      </c>
      <c r="G40" t="str" cm="1">
        <f t="array" ref="G40">INDEX(_xlfn.TEXTSPLIT(D40," "),1)</f>
        <v>March</v>
      </c>
      <c r="H40" s="10">
        <f t="shared" si="0"/>
        <v>46834</v>
      </c>
      <c r="J40" t="str">
        <f t="shared" si="1"/>
        <v>"10.24": new Date(2028,2,22),</v>
      </c>
    </row>
    <row r="41" spans="2:10" x14ac:dyDescent="0.35">
      <c r="B41" s="3" t="s">
        <v>19</v>
      </c>
      <c r="C41" s="8" t="s">
        <v>140</v>
      </c>
      <c r="D41" s="4" t="s">
        <v>25</v>
      </c>
      <c r="E41" t="str" cm="1">
        <f t="array" ref="E41">TRIM(INDEX(_xlfn.TEXTSPLIT(D41,","), 2))</f>
        <v>2028</v>
      </c>
      <c r="F41" t="str" cm="1">
        <f t="array" ref="F41">TRIM(RIGHT(INDEX(_xlfn.TEXTSPLIT(D41,","),1),2))</f>
        <v>27</v>
      </c>
      <c r="G41" t="str" cm="1">
        <f t="array" ref="G41">INDEX(_xlfn.TEXTSPLIT(D41," "),1)</f>
        <v>June</v>
      </c>
      <c r="H41" s="10">
        <f t="shared" si="0"/>
        <v>46931</v>
      </c>
      <c r="J41" t="str">
        <f t="shared" si="1"/>
        <v>"10.25": new Date(2028,5,27),</v>
      </c>
    </row>
    <row r="42" spans="2:10" x14ac:dyDescent="0.35">
      <c r="B42" s="1" t="s">
        <v>19</v>
      </c>
      <c r="C42" s="7" t="s">
        <v>141</v>
      </c>
      <c r="D42" s="2" t="s">
        <v>15</v>
      </c>
      <c r="E42" t="str" cm="1">
        <f t="array" ref="E42">TRIM(INDEX(_xlfn.TEXTSPLIT(D42,","), 2))</f>
        <v>2028</v>
      </c>
      <c r="F42" t="str" cm="1">
        <f t="array" ref="F42">TRIM(RIGHT(INDEX(_xlfn.TEXTSPLIT(D42,","),1),2))</f>
        <v>11</v>
      </c>
      <c r="G42" t="str" cm="1">
        <f t="array" ref="G42">INDEX(_xlfn.TEXTSPLIT(D42," "),1)</f>
        <v>October</v>
      </c>
      <c r="H42" s="10">
        <f t="shared" si="0"/>
        <v>47037</v>
      </c>
      <c r="J42" t="str">
        <f t="shared" si="1"/>
        <v>"10.26": new Date(2028,9,11),</v>
      </c>
    </row>
    <row r="43" spans="2:10" x14ac:dyDescent="0.35">
      <c r="B43" s="3" t="s">
        <v>19</v>
      </c>
      <c r="C43" s="8" t="s">
        <v>142</v>
      </c>
      <c r="D43" s="4" t="s">
        <v>26</v>
      </c>
      <c r="E43" t="str" cm="1">
        <f t="array" ref="E43">TRIM(INDEX(_xlfn.TEXTSPLIT(D43,","), 2))</f>
        <v>2028</v>
      </c>
      <c r="F43" t="str" cm="1">
        <f t="array" ref="F43">TRIM(RIGHT(INDEX(_xlfn.TEXTSPLIT(D43,","),1),2))</f>
        <v>16</v>
      </c>
      <c r="G43" t="str" cm="1">
        <f t="array" ref="G43">INDEX(_xlfn.TEXTSPLIT(D43," "),1)</f>
        <v>December</v>
      </c>
      <c r="H43" s="10">
        <f t="shared" si="0"/>
        <v>47103</v>
      </c>
      <c r="J43" t="str">
        <f t="shared" si="1"/>
        <v>"10.27": new Date(2028,11,16),</v>
      </c>
    </row>
    <row r="44" spans="2:10" x14ac:dyDescent="0.35">
      <c r="B44" s="1" t="s">
        <v>19</v>
      </c>
      <c r="C44" s="7" t="s">
        <v>143</v>
      </c>
      <c r="D44" s="2" t="s">
        <v>27</v>
      </c>
      <c r="E44" t="str" cm="1">
        <f t="array" ref="E44">TRIM(INDEX(_xlfn.TEXTSPLIT(D44,","), 2))</f>
        <v>2029</v>
      </c>
      <c r="F44" t="str" cm="1">
        <f t="array" ref="F44">TRIM(RIGHT(INDEX(_xlfn.TEXTSPLIT(D44,","),1),2))</f>
        <v>28</v>
      </c>
      <c r="G44" t="str" cm="1">
        <f t="array" ref="G44">INDEX(_xlfn.TEXTSPLIT(D44," "),1)</f>
        <v>April</v>
      </c>
      <c r="H44" s="10">
        <f t="shared" si="0"/>
        <v>47236</v>
      </c>
      <c r="J44" t="str">
        <f t="shared" si="1"/>
        <v>"10.28": new Date(2029,3,28),</v>
      </c>
    </row>
    <row r="45" spans="2:10" x14ac:dyDescent="0.35">
      <c r="B45" s="3" t="s">
        <v>28</v>
      </c>
      <c r="C45" s="8" t="s">
        <v>29</v>
      </c>
      <c r="D45" s="4" t="s">
        <v>21</v>
      </c>
      <c r="E45" t="str" cm="1">
        <f t="array" ref="E45">TRIM(INDEX(_xlfn.TEXTSPLIT(D45,","), 2))</f>
        <v>2026</v>
      </c>
      <c r="F45" t="str" cm="1">
        <f t="array" ref="F45">TRIM(RIGHT(INDEX(_xlfn.TEXTSPLIT(D45,","),1),2))</f>
        <v>31</v>
      </c>
      <c r="G45" t="str" cm="1">
        <f t="array" ref="G45">INDEX(_xlfn.TEXTSPLIT(D45," "),1)</f>
        <v>March</v>
      </c>
      <c r="H45" s="10">
        <f t="shared" si="0"/>
        <v>46112</v>
      </c>
      <c r="J45" t="str">
        <f t="shared" si="1"/>
        <v>"1.0.0": new Date(2026,2,31),</v>
      </c>
    </row>
    <row r="46" spans="2:10" x14ac:dyDescent="0.35">
      <c r="B46" s="1" t="s">
        <v>28</v>
      </c>
      <c r="C46" s="7" t="s">
        <v>30</v>
      </c>
      <c r="D46" s="2" t="s">
        <v>31</v>
      </c>
      <c r="E46" t="str" cm="1">
        <f t="array" ref="E46">TRIM(INDEX(_xlfn.TEXTSPLIT(D46,","), 2))</f>
        <v>2026</v>
      </c>
      <c r="F46" t="str" cm="1">
        <f t="array" ref="F46">TRIM(RIGHT(INDEX(_xlfn.TEXTSPLIT(D46,","),1),2))</f>
        <v>31</v>
      </c>
      <c r="G46" t="str" cm="1">
        <f t="array" ref="G46">INDEX(_xlfn.TEXTSPLIT(D46," "),1)</f>
        <v>October</v>
      </c>
      <c r="H46" s="10">
        <f t="shared" si="0"/>
        <v>46326</v>
      </c>
      <c r="J46" t="str">
        <f t="shared" si="1"/>
        <v>"1.1.0": new Date(2026,9,31),</v>
      </c>
    </row>
    <row r="47" spans="2:10" x14ac:dyDescent="0.35">
      <c r="B47" s="3" t="s">
        <v>28</v>
      </c>
      <c r="C47" s="8" t="s">
        <v>32</v>
      </c>
      <c r="D47" s="4" t="s">
        <v>33</v>
      </c>
      <c r="E47" t="str" cm="1">
        <f t="array" ref="E47">TRIM(INDEX(_xlfn.TEXTSPLIT(D47,","), 2))</f>
        <v>2027</v>
      </c>
      <c r="F47" t="str" cm="1">
        <f t="array" ref="F47">TRIM(RIGHT(INDEX(_xlfn.TEXTSPLIT(D47,","),1),2))</f>
        <v>18</v>
      </c>
      <c r="G47" t="str" cm="1">
        <f t="array" ref="G47">INDEX(_xlfn.TEXTSPLIT(D47," "),1)</f>
        <v>January</v>
      </c>
      <c r="H47" s="10">
        <f t="shared" si="0"/>
        <v>46405</v>
      </c>
      <c r="J47" t="str">
        <f t="shared" si="1"/>
        <v>"1.2.0": new Date(2027,0,18),</v>
      </c>
    </row>
    <row r="48" spans="2:10" x14ac:dyDescent="0.35">
      <c r="B48" s="1" t="s">
        <v>28</v>
      </c>
      <c r="C48" s="7" t="s">
        <v>34</v>
      </c>
      <c r="D48" s="2" t="s">
        <v>35</v>
      </c>
      <c r="E48" t="str" cm="1">
        <f t="array" ref="E48">TRIM(INDEX(_xlfn.TEXTSPLIT(D48,","), 2))</f>
        <v>2027</v>
      </c>
      <c r="F48" t="str" cm="1">
        <f t="array" ref="F48">TRIM(RIGHT(INDEX(_xlfn.TEXTSPLIT(D48,","),1),2))</f>
        <v>14</v>
      </c>
      <c r="G48" t="str" cm="1">
        <f t="array" ref="G48">INDEX(_xlfn.TEXTSPLIT(D48," "),1)</f>
        <v>April</v>
      </c>
      <c r="H48" s="10">
        <f t="shared" si="0"/>
        <v>46491</v>
      </c>
      <c r="J48" t="str">
        <f t="shared" si="1"/>
        <v>"1.3.0": new Date(2027,3,14),</v>
      </c>
    </row>
    <row r="49" spans="2:10" x14ac:dyDescent="0.35">
      <c r="B49" s="3" t="s">
        <v>28</v>
      </c>
      <c r="C49" s="8" t="s">
        <v>36</v>
      </c>
      <c r="D49" s="4" t="s">
        <v>37</v>
      </c>
      <c r="E49" t="str" cm="1">
        <f t="array" ref="E49">TRIM(INDEX(_xlfn.TEXTSPLIT(D49,","), 2))</f>
        <v>2027</v>
      </c>
      <c r="F49" t="str" cm="1">
        <f t="array" ref="F49">TRIM(RIGHT(INDEX(_xlfn.TEXTSPLIT(D49,","),1),2))</f>
        <v>4</v>
      </c>
      <c r="G49" t="str" cm="1">
        <f t="array" ref="G49">INDEX(_xlfn.TEXTSPLIT(D49," "),1)</f>
        <v>July</v>
      </c>
      <c r="H49" s="10">
        <f t="shared" si="0"/>
        <v>46572</v>
      </c>
      <c r="J49" t="str">
        <f t="shared" si="1"/>
        <v>"1.4.0": new Date(2027,6,4),</v>
      </c>
    </row>
    <row r="50" spans="2:10" x14ac:dyDescent="0.35">
      <c r="B50" s="1" t="s">
        <v>28</v>
      </c>
      <c r="C50" s="7" t="s">
        <v>38</v>
      </c>
      <c r="D50" s="2" t="s">
        <v>39</v>
      </c>
      <c r="E50" t="str" cm="1">
        <f t="array" ref="E50">TRIM(INDEX(_xlfn.TEXTSPLIT(D50,","), 2))</f>
        <v>2028</v>
      </c>
      <c r="F50" t="str" cm="1">
        <f t="array" ref="F50">TRIM(RIGHT(INDEX(_xlfn.TEXTSPLIT(D50,","),1),2))</f>
        <v>2</v>
      </c>
      <c r="G50" t="str" cm="1">
        <f t="array" ref="G50">INDEX(_xlfn.TEXTSPLIT(D50," "),1)</f>
        <v>February</v>
      </c>
      <c r="H50" s="10">
        <f t="shared" si="0"/>
        <v>46785</v>
      </c>
      <c r="J50" t="str">
        <f t="shared" si="1"/>
        <v>"1.5.0": new Date(2028,1,2),</v>
      </c>
    </row>
    <row r="51" spans="2:10" x14ac:dyDescent="0.35">
      <c r="B51" s="3" t="s">
        <v>28</v>
      </c>
      <c r="C51" s="8" t="s">
        <v>40</v>
      </c>
      <c r="D51" s="4" t="s">
        <v>41</v>
      </c>
      <c r="E51" t="str" cm="1">
        <f t="array" ref="E51">TRIM(INDEX(_xlfn.TEXTSPLIT(D51,","), 2))</f>
        <v>2028</v>
      </c>
      <c r="F51" t="str" cm="1">
        <f t="array" ref="F51">TRIM(RIGHT(INDEX(_xlfn.TEXTSPLIT(D51,","),1),2))</f>
        <v>29</v>
      </c>
      <c r="G51" t="str" cm="1">
        <f t="array" ref="G51">INDEX(_xlfn.TEXTSPLIT(D51," "),1)</f>
        <v>April</v>
      </c>
      <c r="H51" s="10">
        <f t="shared" si="0"/>
        <v>46872</v>
      </c>
      <c r="J51" t="str">
        <f t="shared" si="1"/>
        <v>"1.6.0": new Date(2028,3,29),</v>
      </c>
    </row>
    <row r="52" spans="2:10" x14ac:dyDescent="0.35">
      <c r="B52" s="1" t="s">
        <v>28</v>
      </c>
      <c r="C52" s="7" t="s">
        <v>42</v>
      </c>
      <c r="D52" s="2" t="s">
        <v>43</v>
      </c>
      <c r="E52" t="str" cm="1">
        <f t="array" ref="E52">TRIM(INDEX(_xlfn.TEXTSPLIT(D52,","), 2))</f>
        <v>2028</v>
      </c>
      <c r="F52" t="str" cm="1">
        <f t="array" ref="F52">TRIM(RIGHT(INDEX(_xlfn.TEXTSPLIT(D52,","),1),2))</f>
        <v>25</v>
      </c>
      <c r="G52" t="str" cm="1">
        <f t="array" ref="G52">INDEX(_xlfn.TEXTSPLIT(D52," "),1)</f>
        <v>October</v>
      </c>
      <c r="H52" s="10">
        <f t="shared" si="0"/>
        <v>47051</v>
      </c>
      <c r="J52" t="str">
        <f t="shared" si="1"/>
        <v>"1.7.0": new Date(2028,9,25),</v>
      </c>
    </row>
    <row r="53" spans="2:10" x14ac:dyDescent="0.35">
      <c r="B53" s="3" t="s">
        <v>28</v>
      </c>
      <c r="C53" s="8" t="s">
        <v>44</v>
      </c>
      <c r="D53" s="4" t="s">
        <v>26</v>
      </c>
      <c r="E53" t="str" cm="1">
        <f t="array" ref="E53">TRIM(INDEX(_xlfn.TEXTSPLIT(D53,","), 2))</f>
        <v>2028</v>
      </c>
      <c r="F53" t="str" cm="1">
        <f t="array" ref="F53">TRIM(RIGHT(INDEX(_xlfn.TEXTSPLIT(D53,","),1),2))</f>
        <v>16</v>
      </c>
      <c r="G53" t="str" cm="1">
        <f t="array" ref="G53">INDEX(_xlfn.TEXTSPLIT(D53," "),1)</f>
        <v>December</v>
      </c>
      <c r="H53" s="10">
        <f t="shared" si="0"/>
        <v>47103</v>
      </c>
      <c r="J53" t="str">
        <f t="shared" si="1"/>
        <v>"1.8.0": new Date(2028,11,16),</v>
      </c>
    </row>
    <row r="54" spans="2:10" x14ac:dyDescent="0.35">
      <c r="B54" s="1" t="s">
        <v>28</v>
      </c>
      <c r="C54" s="7" t="s">
        <v>45</v>
      </c>
      <c r="D54" s="2" t="s">
        <v>46</v>
      </c>
      <c r="E54" t="str" cm="1">
        <f t="array" ref="E54">TRIM(INDEX(_xlfn.TEXTSPLIT(D54,","), 2))</f>
        <v>2029</v>
      </c>
      <c r="F54" t="str" cm="1">
        <f t="array" ref="F54">TRIM(RIGHT(INDEX(_xlfn.TEXTSPLIT(D54,","),1),2))</f>
        <v>8</v>
      </c>
      <c r="G54" t="str" cm="1">
        <f t="array" ref="G54">INDEX(_xlfn.TEXTSPLIT(D54," "),1)</f>
        <v>April</v>
      </c>
      <c r="H54" s="10">
        <f t="shared" si="0"/>
        <v>47216</v>
      </c>
      <c r="J54" t="str">
        <f t="shared" si="1"/>
        <v>"1.9.1": new Date(2029,3,8),</v>
      </c>
    </row>
    <row r="55" spans="2:10" x14ac:dyDescent="0.35">
      <c r="B55" s="3" t="s">
        <v>28</v>
      </c>
      <c r="C55" s="8" t="s">
        <v>47</v>
      </c>
      <c r="D55" s="4" t="s">
        <v>27</v>
      </c>
      <c r="E55" t="str" cm="1">
        <f t="array" ref="E55">TRIM(INDEX(_xlfn.TEXTSPLIT(D55,","), 2))</f>
        <v>2029</v>
      </c>
      <c r="F55" t="str" cm="1">
        <f t="array" ref="F55">TRIM(RIGHT(INDEX(_xlfn.TEXTSPLIT(D55,","),1),2))</f>
        <v>28</v>
      </c>
      <c r="G55" t="str" cm="1">
        <f t="array" ref="G55">INDEX(_xlfn.TEXTSPLIT(D55," "),1)</f>
        <v>April</v>
      </c>
      <c r="H55" s="10">
        <f t="shared" si="0"/>
        <v>47236</v>
      </c>
      <c r="J55" t="str">
        <f t="shared" si="1"/>
        <v>"1.10.0": new Date(2029,3,28),</v>
      </c>
    </row>
    <row r="56" spans="2:10" x14ac:dyDescent="0.35">
      <c r="B56" s="1" t="s">
        <v>48</v>
      </c>
      <c r="C56" s="7" t="s">
        <v>144</v>
      </c>
      <c r="D56" s="2" t="s">
        <v>49</v>
      </c>
      <c r="E56" t="str" cm="1">
        <f t="array" ref="E56">TRIM(INDEX(_xlfn.TEXTSPLIT(D56,","), 2))</f>
        <v>2025</v>
      </c>
      <c r="F56" t="str" cm="1">
        <f t="array" ref="F56">TRIM(RIGHT(INDEX(_xlfn.TEXTSPLIT(D56,","),1),2))</f>
        <v>7</v>
      </c>
      <c r="G56" t="str" cm="1">
        <f t="array" ref="G56">INDEX(_xlfn.TEXTSPLIT(D56," "),1)</f>
        <v>May</v>
      </c>
      <c r="H56" s="10">
        <f t="shared" si="0"/>
        <v>45784</v>
      </c>
      <c r="J56" t="str">
        <f t="shared" si="1"/>
        <v>"10.11": new Date(2025,4,7),</v>
      </c>
    </row>
    <row r="57" spans="2:10" x14ac:dyDescent="0.35">
      <c r="B57" s="3" t="s">
        <v>48</v>
      </c>
      <c r="C57" s="8" t="s">
        <v>127</v>
      </c>
      <c r="D57" s="4" t="s">
        <v>3</v>
      </c>
      <c r="E57" t="str" cm="1">
        <f t="array" ref="E57">TRIM(INDEX(_xlfn.TEXTSPLIT(D57,","), 2))</f>
        <v>2025</v>
      </c>
      <c r="F57" t="str" cm="1">
        <f t="array" ref="F57">TRIM(RIGHT(INDEX(_xlfn.TEXTSPLIT(D57,","),1),2))</f>
        <v>26</v>
      </c>
      <c r="G57" t="str" cm="1">
        <f t="array" ref="G57">INDEX(_xlfn.TEXTSPLIT(D57," "),1)</f>
        <v>July</v>
      </c>
      <c r="H57" s="10">
        <f t="shared" si="0"/>
        <v>45864</v>
      </c>
      <c r="J57" t="str">
        <f t="shared" si="1"/>
        <v>"10.12": new Date(2025,6,26),</v>
      </c>
    </row>
    <row r="58" spans="2:10" x14ac:dyDescent="0.35">
      <c r="B58" s="1" t="s">
        <v>48</v>
      </c>
      <c r="C58" s="7" t="s">
        <v>128</v>
      </c>
      <c r="D58" s="2" t="s">
        <v>4</v>
      </c>
      <c r="E58" t="str" cm="1">
        <f t="array" ref="E58">TRIM(INDEX(_xlfn.TEXTSPLIT(D58,","), 2))</f>
        <v>2025</v>
      </c>
      <c r="F58" t="str" cm="1">
        <f t="array" ref="F58">TRIM(RIGHT(INDEX(_xlfn.TEXTSPLIT(D58,","),1),2))</f>
        <v>31</v>
      </c>
      <c r="G58" t="str" cm="1">
        <f t="array" ref="G58">INDEX(_xlfn.TEXTSPLIT(D58," "),1)</f>
        <v>December</v>
      </c>
      <c r="H58" s="10">
        <f t="shared" si="0"/>
        <v>46022</v>
      </c>
      <c r="J58" t="str">
        <f t="shared" si="1"/>
        <v>"10.13": new Date(2025,11,31),</v>
      </c>
    </row>
    <row r="59" spans="2:10" x14ac:dyDescent="0.35">
      <c r="B59" s="3" t="s">
        <v>48</v>
      </c>
      <c r="C59" s="8" t="s">
        <v>129</v>
      </c>
      <c r="D59" s="4" t="s">
        <v>50</v>
      </c>
      <c r="E59" t="str" cm="1">
        <f t="array" ref="E59">TRIM(INDEX(_xlfn.TEXTSPLIT(D59,","), 2))</f>
        <v>2026</v>
      </c>
      <c r="F59" t="str" cm="1">
        <f t="array" ref="F59">TRIM(RIGHT(INDEX(_xlfn.TEXTSPLIT(D59,","),1),2))</f>
        <v>25</v>
      </c>
      <c r="G59" t="str" cm="1">
        <f t="array" ref="G59">INDEX(_xlfn.TEXTSPLIT(D59," "),1)</f>
        <v>March</v>
      </c>
      <c r="H59" s="10">
        <f t="shared" si="0"/>
        <v>46106</v>
      </c>
      <c r="J59" t="str">
        <f t="shared" si="1"/>
        <v>"10.14": new Date(2026,2,25),</v>
      </c>
    </row>
    <row r="60" spans="2:10" x14ac:dyDescent="0.35">
      <c r="B60" s="1" t="s">
        <v>48</v>
      </c>
      <c r="C60" s="7" t="s">
        <v>130</v>
      </c>
      <c r="D60" s="2" t="s">
        <v>51</v>
      </c>
      <c r="E60" t="str" cm="1">
        <f t="array" ref="E60">TRIM(INDEX(_xlfn.TEXTSPLIT(D60,","), 2))</f>
        <v>2026</v>
      </c>
      <c r="F60" t="str" cm="1">
        <f t="array" ref="F60">TRIM(RIGHT(INDEX(_xlfn.TEXTSPLIT(D60,","),1),2))</f>
        <v>15</v>
      </c>
      <c r="G60" t="str" cm="1">
        <f t="array" ref="G60">INDEX(_xlfn.TEXTSPLIT(D60," "),1)</f>
        <v>June</v>
      </c>
      <c r="H60" s="10">
        <f t="shared" si="0"/>
        <v>46188</v>
      </c>
      <c r="J60" t="str">
        <f t="shared" si="1"/>
        <v>"10.15": new Date(2026,5,15),</v>
      </c>
    </row>
    <row r="61" spans="2:10" x14ac:dyDescent="0.35">
      <c r="B61" s="3" t="s">
        <v>48</v>
      </c>
      <c r="C61" s="8" t="s">
        <v>131</v>
      </c>
      <c r="D61" s="4" t="s">
        <v>52</v>
      </c>
      <c r="E61" t="str" cm="1">
        <f t="array" ref="E61">TRIM(INDEX(_xlfn.TEXTSPLIT(D61,","), 2))</f>
        <v>2026</v>
      </c>
      <c r="F61" t="str" cm="1">
        <f t="array" ref="F61">TRIM(RIGHT(INDEX(_xlfn.TEXTSPLIT(D61,","),1),2))</f>
        <v>15</v>
      </c>
      <c r="G61" t="str" cm="1">
        <f t="array" ref="G61">INDEX(_xlfn.TEXTSPLIT(D61," "),1)</f>
        <v>September</v>
      </c>
      <c r="H61" s="10">
        <f t="shared" si="0"/>
        <v>46280</v>
      </c>
      <c r="J61" t="str">
        <f t="shared" si="1"/>
        <v>"10.16": new Date(2026,8,15),</v>
      </c>
    </row>
    <row r="62" spans="2:10" x14ac:dyDescent="0.35">
      <c r="B62" s="1" t="s">
        <v>48</v>
      </c>
      <c r="C62" s="7" t="s">
        <v>132</v>
      </c>
      <c r="D62" s="2" t="s">
        <v>8</v>
      </c>
      <c r="E62" t="str" cm="1">
        <f t="array" ref="E62">TRIM(INDEX(_xlfn.TEXTSPLIT(D62,","), 2))</f>
        <v>2026</v>
      </c>
      <c r="F62" t="str" cm="1">
        <f t="array" ref="F62">TRIM(RIGHT(INDEX(_xlfn.TEXTSPLIT(D62,","),1),2))</f>
        <v>16</v>
      </c>
      <c r="G62" t="str" cm="1">
        <f t="array" ref="G62">INDEX(_xlfn.TEXTSPLIT(D62," "),1)</f>
        <v>December</v>
      </c>
      <c r="H62" s="10">
        <f t="shared" si="0"/>
        <v>46372</v>
      </c>
      <c r="J62" t="str">
        <f t="shared" si="1"/>
        <v>"10.17": new Date(2026,11,16),</v>
      </c>
    </row>
    <row r="63" spans="2:10" x14ac:dyDescent="0.35">
      <c r="B63" s="3" t="s">
        <v>48</v>
      </c>
      <c r="C63" s="8" t="s">
        <v>133</v>
      </c>
      <c r="D63" s="4" t="s">
        <v>53</v>
      </c>
      <c r="E63" t="str" cm="1">
        <f t="array" ref="E63">TRIM(INDEX(_xlfn.TEXTSPLIT(D63,","), 2))</f>
        <v>2027</v>
      </c>
      <c r="F63" t="str" cm="1">
        <f t="array" ref="F63">TRIM(RIGHT(INDEX(_xlfn.TEXTSPLIT(D63,","),1),2))</f>
        <v>31</v>
      </c>
      <c r="G63" t="str" cm="1">
        <f t="array" ref="G63">INDEX(_xlfn.TEXTSPLIT(D63," "),1)</f>
        <v>January</v>
      </c>
      <c r="H63" s="10">
        <f t="shared" si="0"/>
        <v>46418</v>
      </c>
      <c r="J63" t="str">
        <f t="shared" si="1"/>
        <v>"10.18": new Date(2027,0,31),</v>
      </c>
    </row>
    <row r="64" spans="2:10" x14ac:dyDescent="0.35">
      <c r="B64" s="1" t="s">
        <v>48</v>
      </c>
      <c r="C64" s="7" t="s">
        <v>134</v>
      </c>
      <c r="D64" s="2" t="s">
        <v>54</v>
      </c>
      <c r="E64" t="str" cm="1">
        <f t="array" ref="E64">TRIM(INDEX(_xlfn.TEXTSPLIT(D64,","), 2))</f>
        <v>2027</v>
      </c>
      <c r="F64" t="str" cm="1">
        <f t="array" ref="F64">TRIM(RIGHT(INDEX(_xlfn.TEXTSPLIT(D64,","),1),2))</f>
        <v>28</v>
      </c>
      <c r="G64" t="str" cm="1">
        <f t="array" ref="G64">INDEX(_xlfn.TEXTSPLIT(D64," "),1)</f>
        <v>March</v>
      </c>
      <c r="H64" s="10">
        <f t="shared" si="0"/>
        <v>46474</v>
      </c>
      <c r="J64" t="str">
        <f t="shared" si="1"/>
        <v>"10.19": new Date(2027,2,28),</v>
      </c>
    </row>
    <row r="65" spans="2:10" x14ac:dyDescent="0.35">
      <c r="B65" s="3" t="s">
        <v>55</v>
      </c>
      <c r="C65" s="8" t="s">
        <v>135</v>
      </c>
      <c r="D65" s="4" t="s">
        <v>56</v>
      </c>
      <c r="E65" t="str" cm="1">
        <f t="array" ref="E65">TRIM(INDEX(_xlfn.TEXTSPLIT(D65,","), 2))</f>
        <v>2027</v>
      </c>
      <c r="F65" t="str" cm="1">
        <f t="array" ref="F65">TRIM(RIGHT(INDEX(_xlfn.TEXTSPLIT(D65,","),1),2))</f>
        <v>17</v>
      </c>
      <c r="G65" t="str" cm="1">
        <f t="array" ref="G65">INDEX(_xlfn.TEXTSPLIT(D65," "),1)</f>
        <v>May</v>
      </c>
      <c r="H65" s="10">
        <f t="shared" si="0"/>
        <v>46524</v>
      </c>
      <c r="J65" t="str">
        <f t="shared" si="1"/>
        <v>"10.20": new Date(2027,4,17),</v>
      </c>
    </row>
    <row r="66" spans="2:10" x14ac:dyDescent="0.35">
      <c r="B66" s="1" t="s">
        <v>55</v>
      </c>
      <c r="C66" s="7" t="s">
        <v>136</v>
      </c>
      <c r="D66" s="2" t="s">
        <v>57</v>
      </c>
      <c r="E66" t="str" cm="1">
        <f t="array" ref="E66">TRIM(INDEX(_xlfn.TEXTSPLIT(D66,","), 2))</f>
        <v>2027</v>
      </c>
      <c r="F66" t="str" cm="1">
        <f t="array" ref="F66">TRIM(RIGHT(INDEX(_xlfn.TEXTSPLIT(D66,","),1),2))</f>
        <v>13</v>
      </c>
      <c r="G66" t="str" cm="1">
        <f t="array" ref="G66">INDEX(_xlfn.TEXTSPLIT(D66," "),1)</f>
        <v>June</v>
      </c>
      <c r="H66" s="10">
        <f t="shared" si="0"/>
        <v>46551</v>
      </c>
      <c r="J66" t="str">
        <f t="shared" si="1"/>
        <v>"10.21": new Date(2027,5,13),</v>
      </c>
    </row>
    <row r="67" spans="2:10" x14ac:dyDescent="0.35">
      <c r="B67" s="3" t="s">
        <v>55</v>
      </c>
      <c r="C67" s="8" t="s">
        <v>137</v>
      </c>
      <c r="D67" s="4" t="s">
        <v>12</v>
      </c>
      <c r="E67" t="str" cm="1">
        <f t="array" ref="E67">TRIM(INDEX(_xlfn.TEXTSPLIT(D67,","), 2))</f>
        <v>2027</v>
      </c>
      <c r="F67" t="str" cm="1">
        <f t="array" ref="F67">TRIM(RIGHT(INDEX(_xlfn.TEXTSPLIT(D67,","),1),2))</f>
        <v>15</v>
      </c>
      <c r="G67" t="str" cm="1">
        <f t="array" ref="G67">INDEX(_xlfn.TEXTSPLIT(D67," "),1)</f>
        <v>December</v>
      </c>
      <c r="H67" s="10">
        <f t="shared" ref="H67:H108" si="2">DATEVALUE(F67&amp;" "&amp;G67&amp;" "&amp;E67)</f>
        <v>46736</v>
      </c>
      <c r="J67" t="str">
        <f t="shared" ref="J67:J108" si="3">""""&amp;C67&amp;""": new Date("&amp;E67&amp;","&amp;MONTH(H67)-1&amp;","&amp;F67&amp;"),"</f>
        <v>"10.22": new Date(2027,11,15),</v>
      </c>
    </row>
    <row r="68" spans="2:10" x14ac:dyDescent="0.35">
      <c r="B68" s="1" t="s">
        <v>55</v>
      </c>
      <c r="C68" s="7" t="s">
        <v>138</v>
      </c>
      <c r="D68" s="2" t="s">
        <v>58</v>
      </c>
      <c r="E68" t="str" cm="1">
        <f t="array" ref="E68">TRIM(INDEX(_xlfn.TEXTSPLIT(D68,","), 2))</f>
        <v>2028</v>
      </c>
      <c r="F68" t="str" cm="1">
        <f t="array" ref="F68">TRIM(RIGHT(INDEX(_xlfn.TEXTSPLIT(D68,","),1),2))</f>
        <v>27</v>
      </c>
      <c r="G68" t="str" cm="1">
        <f t="array" ref="G68">INDEX(_xlfn.TEXTSPLIT(D68," "),1)</f>
        <v>March</v>
      </c>
      <c r="H68" s="10">
        <f t="shared" si="2"/>
        <v>46839</v>
      </c>
      <c r="J68" t="str">
        <f t="shared" si="3"/>
        <v>"10.23": new Date(2028,2,27),</v>
      </c>
    </row>
    <row r="69" spans="2:10" x14ac:dyDescent="0.35">
      <c r="B69" s="3" t="s">
        <v>55</v>
      </c>
      <c r="C69" s="8" t="s">
        <v>139</v>
      </c>
      <c r="D69" s="4" t="s">
        <v>25</v>
      </c>
      <c r="E69" t="str" cm="1">
        <f t="array" ref="E69">TRIM(INDEX(_xlfn.TEXTSPLIT(D69,","), 2))</f>
        <v>2028</v>
      </c>
      <c r="F69" t="str" cm="1">
        <f t="array" ref="F69">TRIM(RIGHT(INDEX(_xlfn.TEXTSPLIT(D69,","),1),2))</f>
        <v>27</v>
      </c>
      <c r="G69" t="str" cm="1">
        <f t="array" ref="G69">INDEX(_xlfn.TEXTSPLIT(D69," "),1)</f>
        <v>June</v>
      </c>
      <c r="H69" s="10">
        <f t="shared" si="2"/>
        <v>46931</v>
      </c>
      <c r="J69" t="str">
        <f t="shared" si="3"/>
        <v>"10.24": new Date(2028,5,27),</v>
      </c>
    </row>
    <row r="70" spans="2:10" x14ac:dyDescent="0.35">
      <c r="B70" s="1" t="s">
        <v>55</v>
      </c>
      <c r="C70" s="7" t="s">
        <v>140</v>
      </c>
      <c r="D70" s="2" t="s">
        <v>15</v>
      </c>
      <c r="E70" t="str" cm="1">
        <f t="array" ref="E70">TRIM(INDEX(_xlfn.TEXTSPLIT(D70,","), 2))</f>
        <v>2028</v>
      </c>
      <c r="F70" t="str" cm="1">
        <f t="array" ref="F70">TRIM(RIGHT(INDEX(_xlfn.TEXTSPLIT(D70,","),1),2))</f>
        <v>11</v>
      </c>
      <c r="G70" t="str" cm="1">
        <f t="array" ref="G70">INDEX(_xlfn.TEXTSPLIT(D70," "),1)</f>
        <v>October</v>
      </c>
      <c r="H70" s="10">
        <f t="shared" si="2"/>
        <v>47037</v>
      </c>
      <c r="J70" t="str">
        <f t="shared" si="3"/>
        <v>"10.25": new Date(2028,9,11),</v>
      </c>
    </row>
    <row r="71" spans="2:10" x14ac:dyDescent="0.35">
      <c r="B71" s="3" t="s">
        <v>55</v>
      </c>
      <c r="C71" s="8" t="s">
        <v>141</v>
      </c>
      <c r="D71" s="4" t="s">
        <v>59</v>
      </c>
      <c r="E71" t="str" cm="1">
        <f t="array" ref="E71">TRIM(INDEX(_xlfn.TEXTSPLIT(D71,","), 2))</f>
        <v>2029</v>
      </c>
      <c r="F71" t="str" cm="1">
        <f t="array" ref="F71">TRIM(RIGHT(INDEX(_xlfn.TEXTSPLIT(D71,","),1),2))</f>
        <v>14</v>
      </c>
      <c r="G71" t="str" cm="1">
        <f t="array" ref="G71">INDEX(_xlfn.TEXTSPLIT(D71," "),1)</f>
        <v>March</v>
      </c>
      <c r="H71" s="10">
        <f t="shared" si="2"/>
        <v>47191</v>
      </c>
      <c r="J71" t="str">
        <f t="shared" si="3"/>
        <v>"10.26": new Date(2029,2,14),</v>
      </c>
    </row>
    <row r="72" spans="2:10" x14ac:dyDescent="0.35">
      <c r="B72" s="1" t="s">
        <v>55</v>
      </c>
      <c r="C72" s="7" t="s">
        <v>142</v>
      </c>
      <c r="D72" s="2" t="s">
        <v>60</v>
      </c>
      <c r="E72" t="str" cm="1">
        <f t="array" ref="E72">TRIM(INDEX(_xlfn.TEXTSPLIT(D72,","), 2))</f>
        <v>2029</v>
      </c>
      <c r="F72" t="str" cm="1">
        <f t="array" ref="F72">TRIM(RIGHT(INDEX(_xlfn.TEXTSPLIT(D72,","),1),2))</f>
        <v>15</v>
      </c>
      <c r="G72" t="str" cm="1">
        <f t="array" ref="G72">INDEX(_xlfn.TEXTSPLIT(D72," "),1)</f>
        <v>April</v>
      </c>
      <c r="H72" s="10">
        <f t="shared" si="2"/>
        <v>47223</v>
      </c>
      <c r="J72" t="str">
        <f t="shared" si="3"/>
        <v>"10.27": new Date(2029,3,15),</v>
      </c>
    </row>
    <row r="73" spans="2:10" x14ac:dyDescent="0.35">
      <c r="B73" s="3" t="s">
        <v>61</v>
      </c>
      <c r="C73" s="8" t="s">
        <v>145</v>
      </c>
      <c r="D73" s="4" t="s">
        <v>62</v>
      </c>
      <c r="E73" t="str" cm="1">
        <f t="array" ref="E73">TRIM(INDEX(_xlfn.TEXTSPLIT(D73,","), 2))</f>
        <v>2025</v>
      </c>
      <c r="F73" t="str" cm="1">
        <f t="array" ref="F73">TRIM(RIGHT(INDEX(_xlfn.TEXTSPLIT(D73,","),1),2))</f>
        <v>20</v>
      </c>
      <c r="G73" t="str" cm="1">
        <f t="array" ref="G73">INDEX(_xlfn.TEXTSPLIT(D73," "),1)</f>
        <v>September</v>
      </c>
      <c r="H73" s="10">
        <f t="shared" si="2"/>
        <v>45920</v>
      </c>
      <c r="J73" t="str">
        <f t="shared" si="3"/>
        <v>"1.0": new Date(2025,8,20),</v>
      </c>
    </row>
    <row r="74" spans="2:10" x14ac:dyDescent="0.35">
      <c r="B74" s="1" t="s">
        <v>61</v>
      </c>
      <c r="C74" s="7" t="s">
        <v>146</v>
      </c>
      <c r="D74" s="2" t="s">
        <v>63</v>
      </c>
      <c r="E74" t="str" cm="1">
        <f t="array" ref="E74">TRIM(INDEX(_xlfn.TEXTSPLIT(D74,","), 2))</f>
        <v>2026</v>
      </c>
      <c r="F74" t="str" cm="1">
        <f t="array" ref="F74">TRIM(RIGHT(INDEX(_xlfn.TEXTSPLIT(D74,","),1),2))</f>
        <v>24</v>
      </c>
      <c r="G74" t="str" cm="1">
        <f t="array" ref="G74">INDEX(_xlfn.TEXTSPLIT(D74," "),1)</f>
        <v>June</v>
      </c>
      <c r="H74" s="10">
        <f t="shared" si="2"/>
        <v>46197</v>
      </c>
      <c r="J74" t="str">
        <f t="shared" si="3"/>
        <v>"1.1": new Date(2026,5,24),</v>
      </c>
    </row>
    <row r="75" spans="2:10" x14ac:dyDescent="0.35">
      <c r="B75" s="3" t="s">
        <v>61</v>
      </c>
      <c r="C75" s="8" t="s">
        <v>147</v>
      </c>
      <c r="D75" s="4" t="s">
        <v>64</v>
      </c>
      <c r="E75" t="str" cm="1">
        <f t="array" ref="E75">TRIM(INDEX(_xlfn.TEXTSPLIT(D75,","), 2))</f>
        <v>2027</v>
      </c>
      <c r="F75" t="str" cm="1">
        <f t="array" ref="F75">TRIM(RIGHT(INDEX(_xlfn.TEXTSPLIT(D75,","),1),2))</f>
        <v>29</v>
      </c>
      <c r="G75" t="str" cm="1">
        <f t="array" ref="G75">INDEX(_xlfn.TEXTSPLIT(D75," "),1)</f>
        <v>March</v>
      </c>
      <c r="H75" s="10">
        <f t="shared" si="2"/>
        <v>46475</v>
      </c>
      <c r="J75" t="str">
        <f t="shared" si="3"/>
        <v>"1.2": new Date(2027,2,29),</v>
      </c>
    </row>
    <row r="76" spans="2:10" x14ac:dyDescent="0.35">
      <c r="B76" s="1" t="s">
        <v>61</v>
      </c>
      <c r="C76" s="7" t="s">
        <v>148</v>
      </c>
      <c r="D76" s="2" t="s">
        <v>65</v>
      </c>
      <c r="E76" t="str" cm="1">
        <f t="array" ref="E76">TRIM(INDEX(_xlfn.TEXTSPLIT(D76,","), 2))</f>
        <v>2027</v>
      </c>
      <c r="F76" t="str" cm="1">
        <f t="array" ref="F76">TRIM(RIGHT(INDEX(_xlfn.TEXTSPLIT(D76,","),1),2))</f>
        <v>16</v>
      </c>
      <c r="G76" t="str" cm="1">
        <f t="array" ref="G76">INDEX(_xlfn.TEXTSPLIT(D76," "),1)</f>
        <v>June</v>
      </c>
      <c r="H76" s="10">
        <f t="shared" si="2"/>
        <v>46554</v>
      </c>
      <c r="J76" t="str">
        <f t="shared" si="3"/>
        <v>"1.3": new Date(2027,5,16),</v>
      </c>
    </row>
    <row r="77" spans="2:10" x14ac:dyDescent="0.35">
      <c r="B77" s="3" t="s">
        <v>61</v>
      </c>
      <c r="C77" s="8" t="s">
        <v>149</v>
      </c>
      <c r="D77" s="4" t="s">
        <v>66</v>
      </c>
      <c r="E77" t="str" cm="1">
        <f t="array" ref="E77">TRIM(INDEX(_xlfn.TEXTSPLIT(D77,","), 2))</f>
        <v>2027</v>
      </c>
      <c r="F77" t="str" cm="1">
        <f t="array" ref="F77">TRIM(RIGHT(INDEX(_xlfn.TEXTSPLIT(D77,","),1),2))</f>
        <v>28</v>
      </c>
      <c r="G77" t="str" cm="1">
        <f t="array" ref="G77">INDEX(_xlfn.TEXTSPLIT(D77," "),1)</f>
        <v>September</v>
      </c>
      <c r="H77" s="10">
        <f t="shared" si="2"/>
        <v>46658</v>
      </c>
      <c r="J77" t="str">
        <f t="shared" si="3"/>
        <v>"1.4": new Date(2027,8,28),</v>
      </c>
    </row>
    <row r="78" spans="2:10" x14ac:dyDescent="0.35">
      <c r="B78" s="1" t="s">
        <v>61</v>
      </c>
      <c r="C78" s="7" t="s">
        <v>150</v>
      </c>
      <c r="D78" s="2" t="s">
        <v>67</v>
      </c>
      <c r="E78" t="str" cm="1">
        <f t="array" ref="E78">TRIM(INDEX(_xlfn.TEXTSPLIT(D78,","), 2))</f>
        <v>2028</v>
      </c>
      <c r="F78" t="str" cm="1">
        <f t="array" ref="F78">TRIM(RIGHT(INDEX(_xlfn.TEXTSPLIT(D78,","),1),2))</f>
        <v>25</v>
      </c>
      <c r="G78" t="str" cm="1">
        <f t="array" ref="G78">INDEX(_xlfn.TEXTSPLIT(D78," "),1)</f>
        <v>January</v>
      </c>
      <c r="H78" s="10">
        <f t="shared" si="2"/>
        <v>46777</v>
      </c>
      <c r="J78" t="str">
        <f t="shared" si="3"/>
        <v>"1.5": new Date(2028,0,25),</v>
      </c>
    </row>
    <row r="79" spans="2:10" x14ac:dyDescent="0.35">
      <c r="B79" s="3" t="s">
        <v>61</v>
      </c>
      <c r="C79" s="8" t="s">
        <v>151</v>
      </c>
      <c r="D79" s="4" t="s">
        <v>68</v>
      </c>
      <c r="E79" t="str" cm="1">
        <f t="array" ref="E79">TRIM(INDEX(_xlfn.TEXTSPLIT(D79,","), 2))</f>
        <v>2028</v>
      </c>
      <c r="F79" t="str" cm="1">
        <f t="array" ref="F79">TRIM(RIGHT(INDEX(_xlfn.TEXTSPLIT(D79,","),1),2))</f>
        <v>11</v>
      </c>
      <c r="G79" t="str" cm="1">
        <f t="array" ref="G79">INDEX(_xlfn.TEXTSPLIT(D79," "),1)</f>
        <v>July</v>
      </c>
      <c r="H79" s="10">
        <f t="shared" si="2"/>
        <v>46945</v>
      </c>
      <c r="J79" t="str">
        <f t="shared" si="3"/>
        <v>"1.6": new Date(2028,6,11),</v>
      </c>
    </row>
    <row r="80" spans="2:10" x14ac:dyDescent="0.35">
      <c r="B80" s="1" t="s">
        <v>61</v>
      </c>
      <c r="C80" s="7" t="s">
        <v>152</v>
      </c>
      <c r="D80" s="2" t="s">
        <v>69</v>
      </c>
      <c r="E80" t="str" cm="1">
        <f t="array" ref="E80">TRIM(INDEX(_xlfn.TEXTSPLIT(D80,","), 2))</f>
        <v>2028</v>
      </c>
      <c r="F80" t="str" cm="1">
        <f t="array" ref="F80">TRIM(RIGHT(INDEX(_xlfn.TEXTSPLIT(D80,","),1),2))</f>
        <v>16</v>
      </c>
      <c r="G80" t="str" cm="1">
        <f t="array" ref="G80">INDEX(_xlfn.TEXTSPLIT(D80," "),1)</f>
        <v>September</v>
      </c>
      <c r="H80" s="10">
        <f t="shared" si="2"/>
        <v>47012</v>
      </c>
      <c r="J80" t="str">
        <f t="shared" si="3"/>
        <v>"1.7": new Date(2028,8,16),</v>
      </c>
    </row>
    <row r="81" spans="2:10" x14ac:dyDescent="0.35">
      <c r="B81" s="3" t="s">
        <v>61</v>
      </c>
      <c r="C81" s="8" t="s">
        <v>153</v>
      </c>
      <c r="D81" s="4" t="s">
        <v>70</v>
      </c>
      <c r="E81" t="str" cm="1">
        <f t="array" ref="E81">TRIM(INDEX(_xlfn.TEXTSPLIT(D81,","), 2))</f>
        <v>2029</v>
      </c>
      <c r="F81" t="str" cm="1">
        <f t="array" ref="F81">TRIM(RIGHT(INDEX(_xlfn.TEXTSPLIT(D81,","),1),2))</f>
        <v>17</v>
      </c>
      <c r="G81" t="str" cm="1">
        <f t="array" ref="G81">INDEX(_xlfn.TEXTSPLIT(D81," "),1)</f>
        <v>April</v>
      </c>
      <c r="H81" s="10">
        <f t="shared" si="2"/>
        <v>47225</v>
      </c>
      <c r="J81" t="str">
        <f t="shared" si="3"/>
        <v>"1.8": new Date(2029,3,17),</v>
      </c>
    </row>
    <row r="82" spans="2:10" x14ac:dyDescent="0.35">
      <c r="B82" s="1" t="s">
        <v>71</v>
      </c>
      <c r="C82" s="7" t="s">
        <v>124</v>
      </c>
      <c r="D82" s="2" t="s">
        <v>72</v>
      </c>
      <c r="E82" t="str" cm="1">
        <f t="array" ref="E82">TRIM(INDEX(_xlfn.TEXTSPLIT(D82,","), 2))</f>
        <v>2025</v>
      </c>
      <c r="F82" t="str" cm="1">
        <f t="array" ref="F82">TRIM(RIGHT(INDEX(_xlfn.TEXTSPLIT(D82,","),1),2))</f>
        <v>19</v>
      </c>
      <c r="G82" t="str" cm="1">
        <f t="array" ref="G82">INDEX(_xlfn.TEXTSPLIT(D82," "),1)</f>
        <v>May</v>
      </c>
      <c r="H82" s="10">
        <f t="shared" si="2"/>
        <v>45796</v>
      </c>
      <c r="J82" t="str">
        <f t="shared" si="3"/>
        <v>"10.7": new Date(2025,4,19),</v>
      </c>
    </row>
    <row r="83" spans="2:10" x14ac:dyDescent="0.35">
      <c r="B83" s="3" t="s">
        <v>71</v>
      </c>
      <c r="C83" s="8" t="s">
        <v>125</v>
      </c>
      <c r="D83" s="4" t="s">
        <v>73</v>
      </c>
      <c r="E83" t="str" cm="1">
        <f t="array" ref="E83">TRIM(INDEX(_xlfn.TEXTSPLIT(D83,","), 2))</f>
        <v>2025</v>
      </c>
      <c r="F83" t="str" cm="1">
        <f t="array" ref="F83">TRIM(RIGHT(INDEX(_xlfn.TEXTSPLIT(D83,","),1),2))</f>
        <v>1</v>
      </c>
      <c r="G83" t="str" cm="1">
        <f t="array" ref="G83">INDEX(_xlfn.TEXTSPLIT(D83," "),1)</f>
        <v>November</v>
      </c>
      <c r="H83" s="10">
        <f t="shared" si="2"/>
        <v>45962</v>
      </c>
      <c r="J83" t="str">
        <f t="shared" si="3"/>
        <v>"10.8": new Date(2025,10,1),</v>
      </c>
    </row>
    <row r="84" spans="2:10" x14ac:dyDescent="0.35">
      <c r="B84" s="1" t="s">
        <v>71</v>
      </c>
      <c r="C84" s="7" t="s">
        <v>126</v>
      </c>
      <c r="D84" s="2" t="s">
        <v>4</v>
      </c>
      <c r="E84" t="str" cm="1">
        <f t="array" ref="E84">TRIM(INDEX(_xlfn.TEXTSPLIT(D84,","), 2))</f>
        <v>2025</v>
      </c>
      <c r="F84" t="str" cm="1">
        <f t="array" ref="F84">TRIM(RIGHT(INDEX(_xlfn.TEXTSPLIT(D84,","),1),2))</f>
        <v>31</v>
      </c>
      <c r="G84" t="str" cm="1">
        <f t="array" ref="G84">INDEX(_xlfn.TEXTSPLIT(D84," "),1)</f>
        <v>December</v>
      </c>
      <c r="H84" s="10">
        <f t="shared" si="2"/>
        <v>46022</v>
      </c>
      <c r="J84" t="str">
        <f t="shared" si="3"/>
        <v>"10.9": new Date(2025,11,31),</v>
      </c>
    </row>
    <row r="85" spans="2:10" x14ac:dyDescent="0.35">
      <c r="B85" s="3" t="s">
        <v>71</v>
      </c>
      <c r="C85" s="8" t="s">
        <v>154</v>
      </c>
      <c r="D85" s="4" t="s">
        <v>21</v>
      </c>
      <c r="E85" t="str" cm="1">
        <f t="array" ref="E85">TRIM(INDEX(_xlfn.TEXTSPLIT(D85,","), 2))</f>
        <v>2026</v>
      </c>
      <c r="F85" t="str" cm="1">
        <f t="array" ref="F85">TRIM(RIGHT(INDEX(_xlfn.TEXTSPLIT(D85,","),1),2))</f>
        <v>31</v>
      </c>
      <c r="G85" t="str" cm="1">
        <f t="array" ref="G85">INDEX(_xlfn.TEXTSPLIT(D85," "),1)</f>
        <v>March</v>
      </c>
      <c r="H85" s="10">
        <f t="shared" si="2"/>
        <v>46112</v>
      </c>
      <c r="J85" t="str">
        <f t="shared" si="3"/>
        <v>"10.10": new Date(2026,2,31),</v>
      </c>
    </row>
    <row r="86" spans="2:10" x14ac:dyDescent="0.35">
      <c r="B86" s="1" t="s">
        <v>71</v>
      </c>
      <c r="C86" s="7" t="s">
        <v>144</v>
      </c>
      <c r="D86" s="2" t="s">
        <v>52</v>
      </c>
      <c r="E86" t="str" cm="1">
        <f t="array" ref="E86">TRIM(INDEX(_xlfn.TEXTSPLIT(D86,","), 2))</f>
        <v>2026</v>
      </c>
      <c r="F86" t="str" cm="1">
        <f t="array" ref="F86">TRIM(RIGHT(INDEX(_xlfn.TEXTSPLIT(D86,","),1),2))</f>
        <v>15</v>
      </c>
      <c r="G86" t="str" cm="1">
        <f t="array" ref="G86">INDEX(_xlfn.TEXTSPLIT(D86," "),1)</f>
        <v>September</v>
      </c>
      <c r="H86" s="10">
        <f t="shared" si="2"/>
        <v>46280</v>
      </c>
      <c r="J86" t="str">
        <f t="shared" si="3"/>
        <v>"10.11": new Date(2026,8,15),</v>
      </c>
    </row>
    <row r="87" spans="2:10" x14ac:dyDescent="0.35">
      <c r="B87" s="3" t="s">
        <v>71</v>
      </c>
      <c r="C87" s="8" t="s">
        <v>127</v>
      </c>
      <c r="D87" s="4" t="s">
        <v>74</v>
      </c>
      <c r="E87" t="str" cm="1">
        <f t="array" ref="E87">TRIM(INDEX(_xlfn.TEXTSPLIT(D87,","), 2))</f>
        <v>2027</v>
      </c>
      <c r="F87" t="str" cm="1">
        <f t="array" ref="F87">TRIM(RIGHT(INDEX(_xlfn.TEXTSPLIT(D87,","),1),2))</f>
        <v>12</v>
      </c>
      <c r="G87" t="str" cm="1">
        <f t="array" ref="G87">INDEX(_xlfn.TEXTSPLIT(D87," "),1)</f>
        <v>January</v>
      </c>
      <c r="H87" s="10">
        <f t="shared" si="2"/>
        <v>46399</v>
      </c>
      <c r="J87" t="str">
        <f t="shared" si="3"/>
        <v>"10.12": new Date(2027,0,12),</v>
      </c>
    </row>
    <row r="88" spans="2:10" x14ac:dyDescent="0.35">
      <c r="B88" s="1" t="s">
        <v>71</v>
      </c>
      <c r="C88" s="7" t="s">
        <v>128</v>
      </c>
      <c r="D88" s="2" t="s">
        <v>75</v>
      </c>
      <c r="E88" t="str" cm="1">
        <f t="array" ref="E88">TRIM(INDEX(_xlfn.TEXTSPLIT(D88,","), 2))</f>
        <v>2027</v>
      </c>
      <c r="F88" t="str" cm="1">
        <f t="array" ref="F88">TRIM(RIGHT(INDEX(_xlfn.TEXTSPLIT(D88,","),1),2))</f>
        <v>30</v>
      </c>
      <c r="G88" t="str" cm="1">
        <f t="array" ref="G88">INDEX(_xlfn.TEXTSPLIT(D88," "),1)</f>
        <v>March</v>
      </c>
      <c r="H88" s="10">
        <f t="shared" si="2"/>
        <v>46476</v>
      </c>
      <c r="J88" t="str">
        <f t="shared" si="3"/>
        <v>"10.13": new Date(2027,2,30),</v>
      </c>
    </row>
    <row r="89" spans="2:10" x14ac:dyDescent="0.35">
      <c r="B89" s="3" t="s">
        <v>71</v>
      </c>
      <c r="C89" s="8" t="s">
        <v>129</v>
      </c>
      <c r="D89" s="4" t="s">
        <v>76</v>
      </c>
      <c r="E89" t="str" cm="1">
        <f t="array" ref="E89">TRIM(INDEX(_xlfn.TEXTSPLIT(D89,","), 2))</f>
        <v>2027</v>
      </c>
      <c r="F89" t="str" cm="1">
        <f t="array" ref="F89">TRIM(RIGHT(INDEX(_xlfn.TEXTSPLIT(D89,","),1),2))</f>
        <v>9</v>
      </c>
      <c r="G89" t="str" cm="1">
        <f t="array" ref="G89">INDEX(_xlfn.TEXTSPLIT(D89," "),1)</f>
        <v>June</v>
      </c>
      <c r="H89" s="10">
        <f t="shared" si="2"/>
        <v>46547</v>
      </c>
      <c r="J89" t="str">
        <f t="shared" si="3"/>
        <v>"10.14": new Date(2027,5,9),</v>
      </c>
    </row>
    <row r="90" spans="2:10" x14ac:dyDescent="0.35">
      <c r="B90" s="1" t="s">
        <v>71</v>
      </c>
      <c r="C90" s="7" t="s">
        <v>130</v>
      </c>
      <c r="D90" s="2" t="s">
        <v>77</v>
      </c>
      <c r="E90" t="str" cm="1">
        <f t="array" ref="E90">TRIM(INDEX(_xlfn.TEXTSPLIT(D90,","), 2))</f>
        <v>2027</v>
      </c>
      <c r="F90" t="str" cm="1">
        <f t="array" ref="F90">TRIM(RIGHT(INDEX(_xlfn.TEXTSPLIT(D90,","),1),2))</f>
        <v>3</v>
      </c>
      <c r="G90" t="str" cm="1">
        <f t="array" ref="G90">INDEX(_xlfn.TEXTSPLIT(D90," "),1)</f>
        <v>October</v>
      </c>
      <c r="H90" s="10">
        <f t="shared" si="2"/>
        <v>46663</v>
      </c>
      <c r="J90" t="str">
        <f t="shared" si="3"/>
        <v>"10.15": new Date(2027,9,3),</v>
      </c>
    </row>
    <row r="91" spans="2:10" x14ac:dyDescent="0.35">
      <c r="B91" s="3" t="s">
        <v>71</v>
      </c>
      <c r="C91" s="8" t="s">
        <v>131</v>
      </c>
      <c r="D91" s="4" t="s">
        <v>78</v>
      </c>
      <c r="E91" t="str" cm="1">
        <f t="array" ref="E91">TRIM(INDEX(_xlfn.TEXTSPLIT(D91,","), 2))</f>
        <v>2028</v>
      </c>
      <c r="F91" t="str" cm="1">
        <f t="array" ref="F91">TRIM(RIGHT(INDEX(_xlfn.TEXTSPLIT(D91,","),1),2))</f>
        <v>18</v>
      </c>
      <c r="G91" t="str" cm="1">
        <f t="array" ref="G91">INDEX(_xlfn.TEXTSPLIT(D91," "),1)</f>
        <v>March</v>
      </c>
      <c r="H91" s="10">
        <f t="shared" si="2"/>
        <v>46830</v>
      </c>
      <c r="J91" t="str">
        <f t="shared" si="3"/>
        <v>"10.16": new Date(2028,2,18),</v>
      </c>
    </row>
    <row r="92" spans="2:10" x14ac:dyDescent="0.35">
      <c r="B92" s="1" t="s">
        <v>71</v>
      </c>
      <c r="C92" s="7" t="s">
        <v>132</v>
      </c>
      <c r="D92" s="2" t="s">
        <v>79</v>
      </c>
      <c r="E92" t="str" cm="1">
        <f t="array" ref="E92">TRIM(INDEX(_xlfn.TEXTSPLIT(D92,","), 2))</f>
        <v>2028</v>
      </c>
      <c r="F92" t="str" cm="1">
        <f t="array" ref="F92">TRIM(RIGHT(INDEX(_xlfn.TEXTSPLIT(D92,","),1),2))</f>
        <v>10</v>
      </c>
      <c r="G92" t="str" cm="1">
        <f t="array" ref="G92">INDEX(_xlfn.TEXTSPLIT(D92," "),1)</f>
        <v>July</v>
      </c>
      <c r="H92" s="10">
        <f t="shared" si="2"/>
        <v>46944</v>
      </c>
      <c r="J92" t="str">
        <f t="shared" si="3"/>
        <v>"10.17": new Date(2028,6,10),</v>
      </c>
    </row>
    <row r="93" spans="2:10" x14ac:dyDescent="0.35">
      <c r="B93" s="3" t="s">
        <v>71</v>
      </c>
      <c r="C93" s="8" t="s">
        <v>133</v>
      </c>
      <c r="D93" s="4" t="s">
        <v>27</v>
      </c>
      <c r="E93" t="str" cm="1">
        <f t="array" ref="E93">TRIM(INDEX(_xlfn.TEXTSPLIT(D93,","), 2))</f>
        <v>2029</v>
      </c>
      <c r="F93" t="str" cm="1">
        <f t="array" ref="F93">TRIM(RIGHT(INDEX(_xlfn.TEXTSPLIT(D93,","),1),2))</f>
        <v>28</v>
      </c>
      <c r="G93" t="str" cm="1">
        <f t="array" ref="G93">INDEX(_xlfn.TEXTSPLIT(D93," "),1)</f>
        <v>April</v>
      </c>
      <c r="H93" s="10">
        <f t="shared" si="2"/>
        <v>47236</v>
      </c>
      <c r="J93" t="str">
        <f t="shared" si="3"/>
        <v>"10.18": new Date(2029,3,28),</v>
      </c>
    </row>
    <row r="94" spans="2:10" x14ac:dyDescent="0.35">
      <c r="B94" s="1" t="s">
        <v>80</v>
      </c>
      <c r="C94" s="7" t="s">
        <v>29</v>
      </c>
      <c r="D94" s="2" t="s">
        <v>81</v>
      </c>
      <c r="E94" t="str" cm="1">
        <f t="array" ref="E94">TRIM(INDEX(_xlfn.TEXTSPLIT(D94,","), 2))</f>
        <v>2025</v>
      </c>
      <c r="F94" t="str" cm="1">
        <f t="array" ref="F94">TRIM(RIGHT(INDEX(_xlfn.TEXTSPLIT(D94,","),1),2))</f>
        <v>12</v>
      </c>
      <c r="G94" t="str" cm="1">
        <f t="array" ref="G94">INDEX(_xlfn.TEXTSPLIT(D94," "),1)</f>
        <v>February</v>
      </c>
      <c r="H94" s="10">
        <f t="shared" si="2"/>
        <v>45700</v>
      </c>
      <c r="J94" t="str">
        <f t="shared" si="3"/>
        <v>"1.0.0": new Date(2025,1,12),</v>
      </c>
    </row>
    <row r="95" spans="2:10" x14ac:dyDescent="0.35">
      <c r="B95" s="3" t="s">
        <v>80</v>
      </c>
      <c r="C95" s="8" t="s">
        <v>30</v>
      </c>
      <c r="D95" s="4" t="s">
        <v>82</v>
      </c>
      <c r="E95" t="str" cm="1">
        <f t="array" ref="E95">TRIM(INDEX(_xlfn.TEXTSPLIT(D95,","), 2))</f>
        <v>2025</v>
      </c>
      <c r="F95" t="str" cm="1">
        <f t="array" ref="F95">TRIM(RIGHT(INDEX(_xlfn.TEXTSPLIT(D95,","),1),2))</f>
        <v>28</v>
      </c>
      <c r="G95" t="str" cm="1">
        <f t="array" ref="G95">INDEX(_xlfn.TEXTSPLIT(D95," "),1)</f>
        <v>May</v>
      </c>
      <c r="H95" s="10">
        <f t="shared" si="2"/>
        <v>45805</v>
      </c>
      <c r="J95" t="str">
        <f t="shared" si="3"/>
        <v>"1.1.0": new Date(2025,4,28),</v>
      </c>
    </row>
    <row r="96" spans="2:10" x14ac:dyDescent="0.35">
      <c r="B96" s="1" t="s">
        <v>80</v>
      </c>
      <c r="C96" s="7" t="s">
        <v>32</v>
      </c>
      <c r="D96" s="2" t="s">
        <v>83</v>
      </c>
      <c r="E96" t="str" cm="1">
        <f t="array" ref="E96">TRIM(INDEX(_xlfn.TEXTSPLIT(D96,","), 2))</f>
        <v>2025</v>
      </c>
      <c r="F96" t="str" cm="1">
        <f t="array" ref="F96">TRIM(RIGHT(INDEX(_xlfn.TEXTSPLIT(D96,","),1),2))</f>
        <v>13</v>
      </c>
      <c r="G96" t="str" cm="1">
        <f t="array" ref="G96">INDEX(_xlfn.TEXTSPLIT(D96," "),1)</f>
        <v>August</v>
      </c>
      <c r="H96" s="10">
        <f t="shared" si="2"/>
        <v>45882</v>
      </c>
      <c r="J96" t="str">
        <f t="shared" si="3"/>
        <v>"1.2.0": new Date(2025,7,13),</v>
      </c>
    </row>
    <row r="97" spans="2:10" x14ac:dyDescent="0.35">
      <c r="B97" s="3" t="s">
        <v>80</v>
      </c>
      <c r="C97" s="8" t="s">
        <v>34</v>
      </c>
      <c r="D97" s="4" t="s">
        <v>84</v>
      </c>
      <c r="E97" t="str" cm="1">
        <f t="array" ref="E97">TRIM(INDEX(_xlfn.TEXTSPLIT(D97,","), 2))</f>
        <v>2026</v>
      </c>
      <c r="F97" t="str" cm="1">
        <f t="array" ref="F97">TRIM(RIGHT(INDEX(_xlfn.TEXTSPLIT(D97,","),1),2))</f>
        <v>13</v>
      </c>
      <c r="G97" t="str" cm="1">
        <f t="array" ref="G97">INDEX(_xlfn.TEXTSPLIT(D97," "),1)</f>
        <v>March</v>
      </c>
      <c r="H97" s="10">
        <f t="shared" si="2"/>
        <v>46094</v>
      </c>
      <c r="J97" t="str">
        <f t="shared" si="3"/>
        <v>"1.3.0": new Date(2026,2,13),</v>
      </c>
    </row>
    <row r="98" spans="2:10" x14ac:dyDescent="0.35">
      <c r="B98" s="1" t="s">
        <v>80</v>
      </c>
      <c r="C98" s="7" t="s">
        <v>36</v>
      </c>
      <c r="D98" s="2" t="s">
        <v>85</v>
      </c>
      <c r="E98" t="str" cm="1">
        <f t="array" ref="E98">TRIM(INDEX(_xlfn.TEXTSPLIT(D98,","), 2))</f>
        <v>2026</v>
      </c>
      <c r="F98" t="str" cm="1">
        <f t="array" ref="F98">TRIM(RIGHT(INDEX(_xlfn.TEXTSPLIT(D98,","),1),2))</f>
        <v>9</v>
      </c>
      <c r="G98" t="str" cm="1">
        <f t="array" ref="G98">INDEX(_xlfn.TEXTSPLIT(D98," "),1)</f>
        <v>November</v>
      </c>
      <c r="H98" s="10">
        <f t="shared" si="2"/>
        <v>46335</v>
      </c>
      <c r="J98" t="str">
        <f t="shared" si="3"/>
        <v>"1.4.0": new Date(2026,10,9),</v>
      </c>
    </row>
    <row r="99" spans="2:10" x14ac:dyDescent="0.35">
      <c r="B99" s="3" t="s">
        <v>80</v>
      </c>
      <c r="C99" s="8" t="s">
        <v>38</v>
      </c>
      <c r="D99" s="4" t="s">
        <v>86</v>
      </c>
      <c r="E99" t="str" cm="1">
        <f t="array" ref="E99">TRIM(INDEX(_xlfn.TEXTSPLIT(D99,","), 2))</f>
        <v>2027</v>
      </c>
      <c r="F99" t="str" cm="1">
        <f t="array" ref="F99">TRIM(RIGHT(INDEX(_xlfn.TEXTSPLIT(D99,","),1),2))</f>
        <v>17</v>
      </c>
      <c r="G99" t="str" cm="1">
        <f t="array" ref="G99">INDEX(_xlfn.TEXTSPLIT(D99," "),1)</f>
        <v>April</v>
      </c>
      <c r="H99" s="10">
        <f t="shared" si="2"/>
        <v>46494</v>
      </c>
      <c r="J99" t="str">
        <f t="shared" si="3"/>
        <v>"1.5.0": new Date(2027,3,17),</v>
      </c>
    </row>
    <row r="100" spans="2:10" x14ac:dyDescent="0.35">
      <c r="B100" s="1" t="s">
        <v>80</v>
      </c>
      <c r="C100" s="7" t="s">
        <v>40</v>
      </c>
      <c r="D100" s="2" t="s">
        <v>23</v>
      </c>
      <c r="E100" t="str" cm="1">
        <f t="array" ref="E100">TRIM(INDEX(_xlfn.TEXTSPLIT(D100,","), 2))</f>
        <v>2027</v>
      </c>
      <c r="F100" t="str" cm="1">
        <f t="array" ref="F100">TRIM(RIGHT(INDEX(_xlfn.TEXTSPLIT(D100,","),1),2))</f>
        <v>10</v>
      </c>
      <c r="G100" t="str" cm="1">
        <f t="array" ref="G100">INDEX(_xlfn.TEXTSPLIT(D100," "),1)</f>
        <v>October</v>
      </c>
      <c r="H100" s="10">
        <f t="shared" si="2"/>
        <v>46670</v>
      </c>
      <c r="J100" t="str">
        <f t="shared" si="3"/>
        <v>"1.6.0": new Date(2027,9,10),</v>
      </c>
    </row>
    <row r="101" spans="2:10" x14ac:dyDescent="0.35">
      <c r="B101" s="3" t="s">
        <v>80</v>
      </c>
      <c r="C101" s="8" t="s">
        <v>42</v>
      </c>
      <c r="D101" s="4" t="s">
        <v>87</v>
      </c>
      <c r="E101" t="str" cm="1">
        <f t="array" ref="E101">TRIM(INDEX(_xlfn.TEXTSPLIT(D101,","), 2))</f>
        <v>2028</v>
      </c>
      <c r="F101" t="str" cm="1">
        <f t="array" ref="F101">TRIM(RIGHT(INDEX(_xlfn.TEXTSPLIT(D101,","),1),2))</f>
        <v>12</v>
      </c>
      <c r="G101" t="str" cm="1">
        <f t="array" ref="G101">INDEX(_xlfn.TEXTSPLIT(D101," "),1)</f>
        <v>April</v>
      </c>
      <c r="H101" s="10">
        <f t="shared" si="2"/>
        <v>46855</v>
      </c>
      <c r="J101" t="str">
        <f t="shared" si="3"/>
        <v>"1.7.0": new Date(2028,3,12),</v>
      </c>
    </row>
    <row r="102" spans="2:10" x14ac:dyDescent="0.35">
      <c r="B102" s="1" t="s">
        <v>80</v>
      </c>
      <c r="C102" s="7" t="s">
        <v>44</v>
      </c>
      <c r="D102" s="2" t="s">
        <v>88</v>
      </c>
      <c r="E102" t="str" cm="1">
        <f t="array" ref="E102">TRIM(INDEX(_xlfn.TEXTSPLIT(D102,","), 2))</f>
        <v>2028</v>
      </c>
      <c r="F102" t="str" cm="1">
        <f t="array" ref="F102">TRIM(RIGHT(INDEX(_xlfn.TEXTSPLIT(D102,","),1),2))</f>
        <v>8</v>
      </c>
      <c r="G102" t="str" cm="1">
        <f t="array" ref="G102">INDEX(_xlfn.TEXTSPLIT(D102," "),1)</f>
        <v>July</v>
      </c>
      <c r="H102" s="10">
        <f t="shared" si="2"/>
        <v>46942</v>
      </c>
      <c r="J102" t="str">
        <f t="shared" si="3"/>
        <v>"1.8.0": new Date(2028,6,8),</v>
      </c>
    </row>
    <row r="103" spans="2:10" x14ac:dyDescent="0.35">
      <c r="B103" s="3" t="s">
        <v>80</v>
      </c>
      <c r="C103" s="8" t="s">
        <v>89</v>
      </c>
      <c r="D103" s="4" t="s">
        <v>43</v>
      </c>
      <c r="E103" t="str" cm="1">
        <f t="array" ref="E103">TRIM(INDEX(_xlfn.TEXTSPLIT(D103,","), 2))</f>
        <v>2028</v>
      </c>
      <c r="F103" t="str" cm="1">
        <f t="array" ref="F103">TRIM(RIGHT(INDEX(_xlfn.TEXTSPLIT(D103,","),1),2))</f>
        <v>25</v>
      </c>
      <c r="G103" t="str" cm="1">
        <f t="array" ref="G103">INDEX(_xlfn.TEXTSPLIT(D103," "),1)</f>
        <v>October</v>
      </c>
      <c r="H103" s="10">
        <f t="shared" si="2"/>
        <v>47051</v>
      </c>
      <c r="J103" t="str">
        <f t="shared" si="3"/>
        <v>"1.9.0": new Date(2028,9,25),</v>
      </c>
    </row>
    <row r="104" spans="2:10" x14ac:dyDescent="0.35">
      <c r="B104" s="1" t="s">
        <v>80</v>
      </c>
      <c r="C104" s="7" t="s">
        <v>47</v>
      </c>
      <c r="D104" s="2" t="s">
        <v>90</v>
      </c>
      <c r="E104" t="str" cm="1">
        <f t="array" ref="E104">TRIM(INDEX(_xlfn.TEXTSPLIT(D104,","), 2))</f>
        <v>2029</v>
      </c>
      <c r="F104" t="str" cm="1">
        <f t="array" ref="F104">TRIM(RIGHT(INDEX(_xlfn.TEXTSPLIT(D104,","),1),2))</f>
        <v>24</v>
      </c>
      <c r="G104" t="str" cm="1">
        <f t="array" ref="G104">INDEX(_xlfn.TEXTSPLIT(D104," "),1)</f>
        <v>April</v>
      </c>
      <c r="H104" s="10">
        <f t="shared" si="2"/>
        <v>47232</v>
      </c>
      <c r="J104" t="str">
        <f t="shared" si="3"/>
        <v>"1.10.0": new Date(2029,3,24),</v>
      </c>
    </row>
    <row r="105" spans="2:10" x14ac:dyDescent="0.35">
      <c r="B105" s="3" t="s">
        <v>91</v>
      </c>
      <c r="C105" s="8" t="s">
        <v>155</v>
      </c>
      <c r="D105" s="4" t="s">
        <v>92</v>
      </c>
      <c r="E105" t="str" cm="1">
        <f t="array" ref="E105">TRIM(INDEX(_xlfn.TEXTSPLIT(D105,","), 2))</f>
        <v>2022</v>
      </c>
      <c r="F105" t="str" cm="1">
        <f t="array" ref="F105">TRIM(RIGHT(INDEX(_xlfn.TEXTSPLIT(D105,","),1),2))</f>
        <v>31</v>
      </c>
      <c r="G105" t="str" cm="1">
        <f t="array" ref="G105">INDEX(_xlfn.TEXTSPLIT(D105," "),1)</f>
        <v>October</v>
      </c>
      <c r="H105" s="10">
        <f t="shared" si="2"/>
        <v>44865</v>
      </c>
      <c r="J105" t="str">
        <f t="shared" si="3"/>
        <v>"7.5": new Date(2022,9,31),</v>
      </c>
    </row>
    <row r="106" spans="2:10" x14ac:dyDescent="0.35">
      <c r="B106" s="3" t="s">
        <v>93</v>
      </c>
      <c r="C106" s="8" t="s">
        <v>94</v>
      </c>
      <c r="D106" s="4" t="s">
        <v>95</v>
      </c>
      <c r="E106" t="str" cm="1">
        <f t="array" ref="E106">TRIM(INDEX(_xlfn.TEXTSPLIT(D106,","), 2))</f>
        <v>2025</v>
      </c>
      <c r="F106" t="str" cm="1">
        <f t="array" ref="F106">TRIM(RIGHT(INDEX(_xlfn.TEXTSPLIT(D106,","),1),2))</f>
        <v>20</v>
      </c>
      <c r="G106" t="str" cm="1">
        <f t="array" ref="G106">INDEX(_xlfn.TEXTSPLIT(D106," "),1)</f>
        <v>April</v>
      </c>
      <c r="H106" s="10">
        <f t="shared" si="2"/>
        <v>45767</v>
      </c>
      <c r="J106" t="str">
        <f t="shared" si="3"/>
        <v>"2.16.0": new Date(2025,3,20),</v>
      </c>
    </row>
    <row r="107" spans="2:10" x14ac:dyDescent="0.35">
      <c r="B107" s="1" t="s">
        <v>93</v>
      </c>
      <c r="C107" s="7" t="s">
        <v>96</v>
      </c>
      <c r="D107" s="2" t="s">
        <v>97</v>
      </c>
      <c r="E107" t="str" cm="1">
        <f t="array" ref="E107">TRIM(INDEX(_xlfn.TEXTSPLIT(D107,","), 2))</f>
        <v>2025</v>
      </c>
      <c r="F107" t="str" cm="1">
        <f t="array" ref="F107">TRIM(RIGHT(INDEX(_xlfn.TEXTSPLIT(D107,","),1),2))</f>
        <v>23</v>
      </c>
      <c r="G107" t="str" cm="1">
        <f t="array" ref="G107">INDEX(_xlfn.TEXTSPLIT(D107," "),1)</f>
        <v>August</v>
      </c>
      <c r="H107" s="10">
        <f t="shared" si="2"/>
        <v>45892</v>
      </c>
      <c r="J107" t="str">
        <f t="shared" si="3"/>
        <v>"2.17.0": new Date(2025,7,23),</v>
      </c>
    </row>
    <row r="108" spans="2:10" ht="15" thickBot="1" x14ac:dyDescent="0.4">
      <c r="B108" s="5" t="s">
        <v>93</v>
      </c>
      <c r="C108" s="9" t="s">
        <v>98</v>
      </c>
      <c r="D108" s="6" t="s">
        <v>99</v>
      </c>
      <c r="E108" t="str" cm="1">
        <f t="array" ref="E108">TRIM(INDEX(_xlfn.TEXTSPLIT(D108,","), 2))</f>
        <v>2026</v>
      </c>
      <c r="F108" t="str" cm="1">
        <f t="array" ref="F108">TRIM(RIGHT(INDEX(_xlfn.TEXTSPLIT(D108,","),1),2))</f>
        <v>16</v>
      </c>
      <c r="G108" t="str" cm="1">
        <f t="array" ref="G108">INDEX(_xlfn.TEXTSPLIT(D108," "),1)</f>
        <v>October</v>
      </c>
      <c r="H108" s="10">
        <f t="shared" si="2"/>
        <v>46311</v>
      </c>
      <c r="J108" t="str">
        <f t="shared" si="3"/>
        <v>"2.18.0": new Date(2026,9,16),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Hamlyn Yew</dc:creator>
  <cp:lastModifiedBy>Hamlyn Yew</cp:lastModifiedBy>
  <dcterms:created xsi:type="dcterms:W3CDTF">2025-07-26T00:47:53Z</dcterms:created>
  <dcterms:modified xsi:type="dcterms:W3CDTF">2025-07-26T14:48:22Z</dcterms:modified>
</cp:coreProperties>
</file>